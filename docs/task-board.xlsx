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06453ec06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sks" sheetId="1" r:id="R6597403d766449be"/>
    <x:sheet xmlns:r="http://schemas.openxmlformats.org/officeDocument/2006/relationships" name="Workload" sheetId="2" r:id="Ra6eb3545fade4897"/>
    <x:sheet xmlns:r="http://schemas.openxmlformats.org/officeDocument/2006/relationships" name="Timeline" sheetId="3" r:id="R9ed1813bd1e048ae"/>
    <x:sheet xmlns:r="http://schemas.openxmlformats.org/officeDocument/2006/relationships" name="Team" sheetId="4" r:id="R1772e073966a4082"/>
    <x:sheet xmlns:r="http://schemas.openxmlformats.org/officeDocument/2006/relationships" name="Milestones" sheetId="5" r:id="Rc77a2d8555db412a"/>
    <x:sheet xmlns:r="http://schemas.openxmlformats.org/officeDocument/2006/relationships" name="Labels" sheetId="6" r:id="R4bcd22bd00f241c4"/>
    <x:sheet xmlns:r="http://schemas.openxmlformats.org/officeDocument/2006/relationships" name="Risks" sheetId="7" r:id="R5f3f53d8561f45d6"/>
    <x:sheet xmlns:r="http://schemas.openxmlformats.org/officeDocument/2006/relationships" name="Scenarios &amp; Metrics" sheetId="8" r:id="R4d0748bbbd10433d"/>
    <x:sheet xmlns:r="http://schemas.openxmlformats.org/officeDocument/2006/relationships" name="Dependencies" sheetId="9" r:id="R6060e21dc7324514"/>
    <x:sheet xmlns:r="http://schemas.openxmlformats.org/officeDocument/2006/relationships" name="Import Guide" sheetId="10" r:id="Ra7a408976062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 mmm yyyy"/>
    <x:numFmt numFmtId="201" formatCode="0.0"/>
    <x:numFmt numFmtId="202" formatCode="dd mmm"/>
    <x:numFmt numFmtId="203" formatCode="dd mmm;dd mmm;&quot;&quot;"/>
    <x:numFmt numFmtId="204" formatCode="0%"/>
    <x:numFmt numFmtId="205" formatCode="0.00"/>
    <x:numFmt numFmtId="206" formatCode="0"/>
  </x:numFmts>
  <x:fonts count="6">
    <x:font>
      <x:sz val="11"/>
      <x:name val="Carlito"/>
    </x:font>
    <x:font>
      <x:sz val="10"/>
      <x:color rgb="FF172B4D"/>
      <x:name val="Arial"/>
    </x:font>
    <x:font>
      <x:b/>
      <x:sz val="10"/>
      <x:color rgb="FFFFFFFF"/>
      <x:name val="Arial"/>
    </x:font>
    <x:font>
      <x:sz val="10"/>
      <x:color rgb="FF52657A"/>
      <x:name val="Arial"/>
    </x:font>
    <x:font>
      <x:b/>
      <x:sz val="15"/>
      <x:color rgb="FF172B4D"/>
      <x:name val="Arial"/>
    </x:font>
    <x:font>
      <x:b/>
      <x:sz val="10"/>
      <x:color rgb="FF172B4D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1CC"/>
      </x:patternFill>
    </x:fill>
    <x:fill>
      <x:patternFill patternType="solid">
        <x:fgColor rgb="FFE9F0F8"/>
      </x:patternFill>
    </x:fill>
    <x:fill>
      <x:patternFill patternType="solid">
        <x:fgColor rgb="FF64748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horizontal="center" vertical="center" wrapText="1"/>
    </x:xf>
    <x:xf numFmtId="202" fontId="2" fillId="5" borderId="0" xfId="0" applyNumberFormat="1" applyFont="1" applyFill="1" applyBorder="1" applyAlignment="1">
      <x:alignment horizontal="center"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205" fontId="1" fillId="3" borderId="0" xfId="0" applyNumberFormat="1" applyFont="1" applyFill="1" applyBorder="1" applyAlignment="1">
      <x:alignment vertical="center" wrapText="1"/>
    </x:xf>
    <x:xf numFmtId="206" fontId="1" fillId="0" borderId="0" xfId="0" applyNumberFormat="1" applyFont="1" applyFill="1" applyBorder="1" applyAlignment="1">
      <x:alignment vertical="center" wrapText="1"/>
    </x:xf>
    <x:xf numFmtId="206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">
    <x:dxf>
      <x:fill>
        <x:patternFill patternType="solid">
          <x:bgColor rgb="FFFDE8E7"/>
        </x:patternFill>
      </x:fill>
    </x:dxf>
    <x:dxf>
      <x:font>
        <x:b/>
        <x:color rgb="FF9C2020"/>
      </x:font>
      <x:fill>
        <x:patternFill patternType="solid">
          <x:bgColor rgb="FFFDE8E7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FDE8E7"/>
        </x:patternFill>
      </x:fill>
    </x:dxf>
    <x:dxf>
      <x:font>
        <x:b/>
        <x:color rgb="FF9C2020"/>
      </x:font>
      <x:fill>
        <x:patternFill patternType="solid">
          <x:bgColor rgb="FFFDE8E7"/>
        </x:patternFill>
      </x:fill>
    </x:dxf>
    <x:dxf>
      <x:fill>
        <x:patternFill patternType="solid">
          <x:bgColor rgb="FFFDE8E7"/>
        </x:patternFill>
      </x:fill>
    </x:dxf>
    <x:dxf>
      <x:fill>
        <x:patternFill patternType="solid">
          <x:bgColor rgb="FFAAC4E0"/>
        </x:patternFill>
      </x:fill>
    </x:dxf>
    <x:dxf>
      <x:fill>
        <x:patternFill patternType="solid">
          <x:bgColor rgb="FF85BDAC"/>
        </x:patternFill>
      </x:fill>
    </x:dxf>
    <x:dxf>
      <x:font>
        <x:b/>
        <x:color rgb="FF9C2020"/>
      </x:font>
      <x:fill>
        <x:patternFill patternType="solid">
          <x:bgColor rgb="FFFDE8E7"/>
        </x:patternFill>
      </x:fill>
    </x:dxf>
    <x:dxf>
      <x:font>
        <x:color rgb="FF52657A"/>
      </x:font>
      <x:fill>
        <x:patternFill patternType="solid">
          <x:bgColor rgb="FFF0F2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ff8746d6a4bf0" /><Relationship Type="http://schemas.openxmlformats.org/officeDocument/2006/relationships/theme" Target="/xl/theme/theme1.xml" Id="Rb7f0164991fe4224" /><Relationship Type="http://schemas.openxmlformats.org/officeDocument/2006/relationships/sharedStrings" Target="/xl/sharedStrings.xml" Id="R5a812b21da16427e" /><Relationship Type="http://schemas.openxmlformats.org/officeDocument/2006/relationships/worksheet" Target="/xl/worksheets/sheet1.xml" Id="R6597403d766449be" /><Relationship Type="http://schemas.openxmlformats.org/officeDocument/2006/relationships/worksheet" Target="/xl/worksheets/sheet2.xml" Id="Ra6eb3545fade4897" /><Relationship Type="http://schemas.openxmlformats.org/officeDocument/2006/relationships/worksheet" Target="/xl/worksheets/sheet3.xml" Id="R9ed1813bd1e048ae" /><Relationship Type="http://schemas.openxmlformats.org/officeDocument/2006/relationships/worksheet" Target="/xl/worksheets/sheet4.xml" Id="R1772e073966a4082" /><Relationship Type="http://schemas.openxmlformats.org/officeDocument/2006/relationships/worksheet" Target="/xl/worksheets/sheet5.xml" Id="Rc77a2d8555db412a" /><Relationship Type="http://schemas.openxmlformats.org/officeDocument/2006/relationships/worksheet" Target="/xl/worksheets/sheet6.xml" Id="R4bcd22bd00f241c4" /><Relationship Type="http://schemas.openxmlformats.org/officeDocument/2006/relationships/worksheet" Target="/xl/worksheets/sheet7.xml" Id="R5f3f53d8561f45d6" /><Relationship Type="http://schemas.openxmlformats.org/officeDocument/2006/relationships/worksheet" Target="/xl/worksheets/sheet8.xml" Id="R4d0748bbbd10433d" /><Relationship Type="http://schemas.openxmlformats.org/officeDocument/2006/relationships/worksheet" Target="/xl/worksheets/sheet9.xml" Id="R6060e21dc7324514" /><Relationship Type="http://schemas.openxmlformats.org/officeDocument/2006/relationships/worksheet" Target="/xl/worksheets/sheet10.xml" Id="Ra7a40897606248ab" /></Relationships>
</file>

<file path=xl/tables/table1.xml><?xml version="1.0" encoding="utf-8"?>
<x:table xmlns:x="http://schemas.openxmlformats.org/spreadsheetml/2006/main" id="2" name="TasksTable" displayName="TasksTable" ref="A1:AB224" headerRowCount="1" totalsRowCount="0" totalsRowShown="0">
  <x:tableColumns count="28">
    <x:tableColumn id="1" name="Task ID"/>
    <x:tableColumn id="2" name="Title"/>
    <x:tableColumn id="3" name="Description"/>
    <x:tableColumn id="4" name="Acceptance Criteria"/>
    <x:tableColumn id="5" name="Category"/>
    <x:tableColumn id="6" name="Workstream"/>
    <x:tableColumn id="7" name="Milestone"/>
    <x:tableColumn id="8" name="Priority"/>
    <x:tableColumn id="9" name="Assignee"/>
    <x:tableColumn id="10" name="Assignee GitHub"/>
    <x:tableColumn id="11" name="Reviewer"/>
    <x:tableColumn id="12" name="Start Date"/>
    <x:tableColumn id="13" name="Due Date"/>
    <x:tableColumn id="14" name="Estimate (h)"/>
    <x:tableColumn id="15" name="Depends On"/>
    <x:tableColumn id="16" name="Blocks"/>
    <x:tableColumn id="17" name="CARLA Required"/>
    <x:tableColumn id="18" name="Module / Files"/>
    <x:tableColumn id="19" name="Evidence Produced"/>
    <x:tableColumn id="20" name="Report Section"/>
    <x:tableColumn id="21" name="Labels"/>
    <x:tableColumn id="22" name="Status"/>
    <x:tableColumn id="23" name="GitHub Issue #"/>
    <x:tableColumn id="24" name="Notes / Assumptions"/>
    <x:tableColumn id="25" name="Week"/>
    <x:tableColumn id="26" name="Dependency Check"/>
    <x:tableColumn id="27" name="Milestone Check"/>
    <x:tableColumn id="28" name="Days Remain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eamTable" displayName="TeamTable" ref="A1:I7" headerRowCount="1" totalsRowCount="0" totalsRowShown="0">
  <x:tableColumns count="9">
    <x:tableColumn id="1" name="Name"/>
    <x:tableColumn id="2" name="GitHub"/>
    <x:tableColumn id="3" name="A1 module"/>
    <x:tableColumn id="4" name="Baseline workstream"/>
    <x:tableColumn id="5" name="Extension"/>
    <x:tableColumn id="6" name="Review partner"/>
    <x:tableColumn id="7" name="CARLA"/>
    <x:tableColumn id="8" name="Availability assumption"/>
    <x:tableColumn id="9" name="Capacity (h/week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MilestonesTable" displayName="MilestonesTable" ref="A1:K7" headerRowCount="1" totalsRowCount="0" totalsRowShown="0">
  <x:tableColumns count="11">
    <x:tableColumn id="1" name="Gate"/>
    <x:tableColumn id="2" name="Title"/>
    <x:tableColumn id="3" name="Due Date"/>
    <x:tableColumn id="4" name="Exit Criteria"/>
    <x:tableColumn id="5" name="Owner"/>
    <x:tableColumn id="6" name="Active tasks"/>
    <x:tableColumn id="7" name="Done tasks"/>
    <x:tableColumn id="8" name="Done %"/>
    <x:tableColumn id="9" name="Cut tasks"/>
    <x:tableColumn id="10" name="Gate decision"/>
    <x:tableColumn id="11" name="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LabelsTable" displayName="LabelsTable" ref="A1:C24" headerRowCount="1" totalsRowCount="0" totalsRowShown="0">
  <x:tableColumns count="3">
    <x:tableColumn id="1" name="Name"/>
    <x:tableColumn id="2" name="Colour"/>
    <x:tableColumn id="3" name="Descrip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6" name="RisksTable" displayName="RisksTable" ref="A1:I14" headerRowCount="1" totalsRowCount="0" totalsRowShown="0">
  <x:tableColumns count="9">
    <x:tableColumn id="1" name="ID"/>
    <x:tableColumn id="2" name="Risk"/>
    <x:tableColumn id="3" name="Likelihood"/>
    <x:tableColumn id="4" name="Impact"/>
    <x:tableColumn id="5" name="Trigger"/>
    <x:tableColumn id="6" name="Mitigation"/>
    <x:tableColumn id="7" name="Owner"/>
    <x:tableColumn id="8" name="Task links"/>
    <x:tableColumn id="9" name="Fallback / cu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7" name="MetricsTable" displayName="MetricsTable" ref="A1:N89" headerRowCount="1" totalsRowCount="0" totalsRowShown="0">
  <x:tableColumns count="14">
    <x:tableColumn id="1" name="Scenario"/>
    <x:tableColumn id="2" name="Setup"/>
    <x:tableColumn id="3" name="Metric"/>
    <x:tableColumn id="4" name="Unit"/>
    <x:tableColumn id="5" name="Rule"/>
    <x:tableColumn id="6" name="Lower"/>
    <x:tableColumn id="7" name="Upper"/>
    <x:tableColumn id="8" name="Required runs"/>
    <x:tableColumn id="9" name="Completed runs"/>
    <x:tableColumn id="10" name="Result"/>
    <x:tableColumn id="11" name="Pass / Fail"/>
    <x:tableColumn id="12" name="Owner"/>
    <x:tableColumn id="13" name="Evidence"/>
    <x:tableColumn id="14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3" name="DependenciesTable" displayName="DependenciesTable" ref="A1:W224" headerRowCount="1" totalsRowCount="0" totalsRowShown="0">
  <x:tableColumns count="23">
    <x:tableColumn id="1" name="Task ID"/>
    <x:tableColumn id="2" name="Current dependency IDs"/>
    <x:tableColumn id="3" name="Start"/>
    <x:tableColumn id="4" name="Dependency count"/>
    <x:tableColumn id="5" name="Latest due"/>
    <x:tableColumn id="6" name="Bad ID count"/>
    <x:tableColumn id="7" name="Check"/>
    <x:tableColumn id="8" name="Dependency 1"/>
    <x:tableColumn id="9" name="Dependency 2"/>
    <x:tableColumn id="10" name="Dependency 3"/>
    <x:tableColumn id="11" name="Dependency 4"/>
    <x:tableColumn id="12" name="Dependency 5"/>
    <x:tableColumn id="13" name="Dependency 6"/>
    <x:tableColumn id="14" name="Dependency 7"/>
    <x:tableColumn id="15" name="Dependency 8"/>
    <x:tableColumn id="16" name="Due 1"/>
    <x:tableColumn id="17" name="Due 2"/>
    <x:tableColumn id="18" name="Due 3"/>
    <x:tableColumn id="19" name="Due 4"/>
    <x:tableColumn id="20" name="Due 5"/>
    <x:tableColumn id="21" name="Due 6"/>
    <x:tableColumn id="22" name="Due 7"/>
    <x:tableColumn id="23" name="Due 8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d87d5557724a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d39c2e1db1144f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8de6365028449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c16168535284c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452bcd46e9b240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f7f723951844e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4b9ffe40b880487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53" hidden="0" customWidth="1"/>
    <x:col min="3" max="3" width="68" hidden="0" customWidth="1"/>
    <x:col min="4" max="4" width="68" hidden="0" customWidth="1"/>
    <x:col min="5" max="5" width="20" hidden="0" customWidth="1"/>
    <x:col min="6" max="6" width="13" hidden="0" customWidth="1"/>
    <x:col min="7" max="7" width="13" hidden="0" customWidth="1"/>
    <x:col min="8" max="8" width="15" hidden="0" customWidth="1"/>
    <x:col min="9" max="9" width="16" hidden="0" customWidth="1"/>
    <x:col min="10" max="10" width="20" hidden="0" customWidth="1"/>
    <x:col min="11" max="11" width="16" hidden="0" customWidth="1"/>
    <x:col min="12" max="12" width="15" hidden="0" customWidth="1"/>
    <x:col min="13" max="13" width="15" hidden="0" customWidth="1"/>
    <x:col min="14" max="14" width="14" hidden="0" customWidth="1"/>
    <x:col min="15" max="15" width="34" hidden="0" customWidth="1"/>
    <x:col min="16" max="16" width="30" hidden="0" customWidth="1"/>
    <x:col min="17" max="17" width="15" hidden="0" customWidth="1"/>
    <x:col min="18" max="18" width="49" hidden="0" customWidth="1"/>
    <x:col min="19" max="19" width="44" hidden="0" customWidth="1"/>
    <x:col min="20" max="20" width="30" hidden="0" customWidth="1"/>
    <x:col min="21" max="21" width="38" hidden="0" customWidth="1"/>
    <x:col min="22" max="22" width="16" hidden="0" customWidth="1"/>
    <x:col min="23" max="23" width="16" hidden="0" customWidth="1"/>
    <x:col min="24" max="24" width="68" hidden="0" customWidth="1"/>
    <x:col min="25" max="25" width="10" hidden="0" customWidth="1"/>
    <x:col min="26" max="26" width="20" hidden="0" customWidth="1"/>
    <x:col min="27" max="27" width="20" hidden="0" customWidth="1"/>
    <x:col min="28" max="28" width="17" hidden="0" customWidth="1"/>
  </x:cols>
  <x:sheetData>
    <x:row r="1" ht="32" customHeight="1">
      <x:c r="A1" s="6" t="str">
        <x:v>Task ID</x:v>
      </x:c>
      <x:c r="B1" s="6" t="str">
        <x:v>Title</x:v>
      </x:c>
      <x:c r="C1" s="6" t="str">
        <x:v>Description</x:v>
      </x:c>
      <x:c r="D1" s="6" t="str">
        <x:v>Acceptance Criteria</x:v>
      </x:c>
      <x:c r="E1" s="6" t="str">
        <x:v>Category</x:v>
      </x:c>
      <x:c r="F1" s="6" t="str">
        <x:v>Workstream</x:v>
      </x:c>
      <x:c r="G1" s="6" t="str">
        <x:v>Milestone</x:v>
      </x:c>
      <x:c r="H1" s="6" t="str">
        <x:v>Priority</x:v>
      </x:c>
      <x:c r="I1" s="6" t="str">
        <x:v>Assignee</x:v>
      </x:c>
      <x:c r="J1" s="6" t="str">
        <x:v>Assignee GitHub</x:v>
      </x:c>
      <x:c r="K1" s="6" t="str">
        <x:v>Reviewer</x:v>
      </x:c>
      <x:c r="L1" s="6" t="str">
        <x:v>Start Date</x:v>
      </x:c>
      <x:c r="M1" s="6" t="str">
        <x:v>Due Date</x:v>
      </x:c>
      <x:c r="N1" s="6" t="str">
        <x:v>Estimate (h)</x:v>
      </x:c>
      <x:c r="O1" s="6" t="str">
        <x:v>Depends On</x:v>
      </x:c>
      <x:c r="P1" s="6" t="str">
        <x:v>Blocks</x:v>
      </x:c>
      <x:c r="Q1" s="6" t="str">
        <x:v>CARLA Required</x:v>
      </x:c>
      <x:c r="R1" s="6" t="str">
        <x:v>Module / Files</x:v>
      </x:c>
      <x:c r="S1" s="6" t="str">
        <x:v>Evidence Produced</x:v>
      </x:c>
      <x:c r="T1" s="6" t="str">
        <x:v>Report Section</x:v>
      </x:c>
      <x:c r="U1" s="6" t="str">
        <x:v>Labels</x:v>
      </x:c>
      <x:c r="V1" s="6" t="str">
        <x:v>Status</x:v>
      </x:c>
      <x:c r="W1" s="6" t="str">
        <x:v>GitHub Issue #</x:v>
      </x:c>
      <x:c r="X1" s="6" t="str">
        <x:v>Notes / Assumptions</x:v>
      </x:c>
      <x:c r="Y1" s="6" t="str">
        <x:v>Week</x:v>
      </x:c>
      <x:c r="Z1" s="6" t="str">
        <x:v>Dependency Check</x:v>
      </x:c>
      <x:c r="AA1" s="6" t="str">
        <x:v>Milestone Check</x:v>
      </x:c>
      <x:c r="AB1" s="6" t="str">
        <x:v>Days Remaining</x:v>
      </x:c>
    </x:row>
    <x:row r="2" ht="90" customHeight="1">
      <x:c r="A2" s="7" t="str">
        <x:v>PROC-01</x:v>
      </x:c>
      <x:c r="B2" s="7" t="str">
        <x:v>Create A2 repository and preserve the A1 starting point</x:v>
      </x:c>
      <x:c r="C2" s="9" t="str">
        <x:v>Establish A2 branch policy, archive hash and initial issues; retain attribution and A1 compatibility tests.</x:v>
      </x:c>
      <x:c r="D2" s="9" t="str">
        <x:v>Repo URL recorded; all six members can open PRs; source archive SHA256 and tag recorded.</x:v>
      </x:c>
      <x:c r="E2" s="7" t="str">
        <x:v>Process</x:v>
      </x:c>
      <x:c r="F2" s="7" t="str">
        <x:v>F</x:v>
      </x:c>
      <x:c r="G2" s="7" t="str">
        <x:v>G0</x:v>
      </x:c>
      <x:c r="H2" s="7" t="str">
        <x:v>P0 must</x:v>
      </x:c>
      <x:c r="I2" s="7" t="str">
        <x:v>Saviour</x:v>
      </x:c>
      <x:c r="J2" s="7" t="str">
        <x:f>IF(VLOOKUP(I2,'Team'!$A$2:$B$7,2,FALSE)="","",VLOOKUP(I2,'Team'!$A$2:$B$7,2,FALSE))</x:f>
      </x:c>
      <x:c r="K2" s="7" t="str">
        <x:v>Ricky</x:v>
      </x:c>
      <x:c r="L2" s="10" t="n">
        <x:v>46307</x:v>
      </x:c>
      <x:c r="M2" s="10" t="n">
        <x:v>46307</x:v>
      </x:c>
      <x:c r="N2" s="11" t="n">
        <x:v>1.5</x:v>
      </x:c>
      <x:c r="O2" s="7" t="str"/>
      <x:c r="P2" s="7" t="str">
        <x:v>PROC-03, G0-01, DOC-01, REV-MOH-1, REV-MOH-2, REV-MOH-3, REV-ABD-1, REV-ABD-2, REV-ABD-3, REV-RIC-1, REV-RIC-2, REV-RIC-3, REV-ALA-1, REV-ALA-2, REV-ALA-3, REV-ZHA-1, REV-ZHA-2, REV-ZHA-3, REV-SAV-1, REV-SAV-2, REV-SAV-3</x:v>
      </x:c>
      <x:c r="Q2" s="7" t="str">
        <x:v>N</x:v>
      </x:c>
      <x:c r="R2" s="7" t="str">
        <x:v>.github/; pyproject.toml</x:v>
      </x:c>
      <x:c r="S2" s="7" t="str">
        <x:v>Repository setup checklist</x:v>
      </x:c>
      <x:c r="T2" s="7" t="str">
        <x:v>Scope and rationale</x:v>
      </x:c>
      <x:c r="U2" s="7" t="str">
        <x:v>workstream:f;priority:p0;category:process</x:v>
      </x:c>
      <x:c r="V2" s="7" t="str">
        <x:v>Todo</x:v>
      </x:c>
      <x:c r="W2" s="7" t="str"/>
      <x:c r="X2" s="9" t="str">
        <x:v>Internal Sydney date. Estimate includes implementation, author checks and handoff; reviewer time is separately budgeted.</x:v>
      </x:c>
      <x:c r="Y2" s="12" t="n">
        <x:f>INT((M2-'Import Guide'!$B$3)/7)+1</x:f>
        <x:v>1</x:v>
      </x:c>
      <x:c r="Z2" s="12" t="str">
        <x:f>VLOOKUP(A2,'Dependencies'!$A$2:$G$224,7,FALSE)</x:f>
        <x:v>OK</x:v>
      </x:c>
      <x:c r="AA2" s="12" t="str">
        <x:f>IF(COUNTIFS('Milestones'!$A$2:$A$7,G2)&lt;&gt;1,"BAD GATE",IF(M2&lt;=VLOOKUP(G2,'Milestones'!$A$2:$C$7,3,FALSE),"OK","LATE"))</x:f>
        <x:v>OK</x:v>
      </x:c>
      <x:c r="AB2" s="12" t="n">
        <x:f>IF(OR(V2="Done",V2="Cut"),"",M2-TODAY())</x:f>
        <x:v>4</x:v>
      </x:c>
    </x:row>
    <x:row r="3" ht="90" customHeight="1">
      <x:c r="A3" s="7" t="str">
        <x:v>PROC-02</x:v>
      </x:c>
      <x:c r="B3" s="7" t="str">
        <x:v>Inventory four CARLA machines and choose demo candidates</x:v>
      </x:c>
      <x:c r="C3" s="9" t="str">
        <x:v>Record OS, GPU, VRAM, Python/client/server versions; nominate primary and backup laptop.</x:v>
      </x:c>
      <x:c r="D3" s="9" t="str">
        <x:v>Mohammad, Abdullah, Alan and Zhaolin smoke-test Town10HD; machine table and demo choice recorded.</x:v>
      </x:c>
      <x:c r="E3" s="7" t="str">
        <x:v>Process</x:v>
      </x:c>
      <x:c r="F3" s="7" t="str">
        <x:v>E</x:v>
      </x:c>
      <x:c r="G3" s="7" t="str">
        <x:v>G0</x:v>
      </x:c>
      <x:c r="H3" s="7" t="str">
        <x:v>P0 must</x:v>
      </x:c>
      <x:c r="I3" s="7" t="str">
        <x:v>Abdullah</x:v>
      </x:c>
      <x:c r="J3" s="7" t="str">
        <x:f>IF(VLOOKUP(I3,'Team'!$A$2:$B$7,2,FALSE)="","",VLOOKUP(I3,'Team'!$A$2:$B$7,2,FALSE))</x:f>
      </x:c>
      <x:c r="K3" s="7" t="str">
        <x:v>Zhaolin</x:v>
      </x:c>
      <x:c r="L3" s="10" t="n">
        <x:v>46307</x:v>
      </x:c>
      <x:c r="M3" s="10" t="n">
        <x:v>46307</x:v>
      </x:c>
      <x:c r="N3" s="11" t="n">
        <x:v>1</x:v>
      </x:c>
      <x:c r="O3" s="7" t="str"/>
      <x:c r="P3" s="7" t="str">
        <x:v>BL-E-01, BL-B-01, BL-A-02</x:v>
      </x:c>
      <x:c r="Q3" s="7" t="str">
        <x:v>Y</x:v>
      </x:c>
      <x:c r="R3" s="7" t="str">
        <x:v>docs/machines.md</x:v>
      </x:c>
      <x:c r="S3" s="7" t="str">
        <x:v>Machine inventory and smoke logs</x:v>
      </x:c>
      <x:c r="T3" s="7" t="str">
        <x:v>Scope and rationale</x:v>
      </x:c>
      <x:c r="U3" s="7" t="str">
        <x:v>workstream:e;priority:p0;carla-required;category:process</x:v>
      </x:c>
      <x:c r="V3" s="7" t="str">
        <x:v>Todo</x:v>
      </x:c>
      <x:c r="W3" s="7" t="str"/>
      <x:c r="X3" s="9" t="str">
        <x:v>Internal Sydney date. Estimate includes implementation, author checks and handoff; reviewer time is separately budgeted.</x:v>
      </x:c>
      <x:c r="Y3" s="12" t="n">
        <x:f>INT((M3-'Import Guide'!$B$3)/7)+1</x:f>
        <x:v>1</x:v>
      </x:c>
      <x:c r="Z3" s="12" t="str">
        <x:f>VLOOKUP(A3,'Dependencies'!$A$2:$G$224,7,FALSE)</x:f>
        <x:v>OK</x:v>
      </x:c>
      <x:c r="AA3" s="12" t="str">
        <x:f>IF(COUNTIFS('Milestones'!$A$2:$A$7,G3)&lt;&gt;1,"BAD GATE",IF(M3&lt;=VLOOKUP(G3,'Milestones'!$A$2:$C$7,3,FALSE),"OK","LATE"))</x:f>
        <x:v>OK</x:v>
      </x:c>
      <x:c r="AB3" s="12" t="n">
        <x:f>IF(OR(V3="Done",V3="Cut"),"",M3-TODAY())</x:f>
        <x:v>4</x:v>
      </x:c>
    </x:row>
    <x:row r="4" ht="90" customHeight="1">
      <x:c r="A4" s="7" t="str">
        <x:v>PROC-03</x:v>
      </x:c>
      <x:c r="B4" s="7" t="str">
        <x:v>Request tutor confirmation of scope and dates</x:v>
      </x:c>
      <x:c r="C4" s="9" t="str">
        <x:v>Prepare and have a member send the reduced baseline and E1-E5 changes; confirm map/ego-pose allowance, report date and Week 13 slot.</x:v>
      </x:c>
      <x:c r="D4" s="9" t="str">
        <x:v>Written request and response/status recorded; no assumed tutor approval; actual deadlines entered when known.</x:v>
      </x:c>
      <x:c r="E4" s="7" t="str">
        <x:v>Process</x:v>
      </x:c>
      <x:c r="F4" s="7" t="str">
        <x:v>D</x:v>
      </x:c>
      <x:c r="G4" s="7" t="str">
        <x:v>G0</x:v>
      </x:c>
      <x:c r="H4" s="7" t="str">
        <x:v>P0 must</x:v>
      </x:c>
      <x:c r="I4" s="7" t="str">
        <x:v>Alan</x:v>
      </x:c>
      <x:c r="J4" s="7" t="str">
        <x:f>IF(VLOOKUP(I4,'Team'!$A$2:$B$7,2,FALSE)="","",VLOOKUP(I4,'Team'!$A$2:$B$7,2,FALSE))</x:f>
      </x:c>
      <x:c r="K4" s="7" t="str">
        <x:v>Mohammad</x:v>
      </x:c>
      <x:c r="L4" s="10" t="n">
        <x:v>46308</x:v>
      </x:c>
      <x:c r="M4" s="10" t="n">
        <x:v>46308</x:v>
      </x:c>
      <x:c r="N4" s="11" t="n">
        <x:v>1</x:v>
      </x:c>
      <x:c r="O4" s="7" t="str">
        <x:v>PROC-01</x:v>
      </x:c>
      <x:c r="P4" s="7" t="str">
        <x:v>G0-01</x:v>
      </x:c>
      <x:c r="Q4" s="7" t="str">
        <x:v>N</x:v>
      </x:c>
      <x:c r="R4" s="7" t="str">
        <x:v>docs/decisions.md</x:v>
      </x:c>
      <x:c r="S4" s="7" t="str">
        <x:v>Tutor scope and dates record</x:v>
      </x:c>
      <x:c r="T4" s="7" t="str">
        <x:v>Scope and rationale</x:v>
      </x:c>
      <x:c r="U4" s="7" t="str">
        <x:v>workstream:d;priority:p0;category:process</x:v>
      </x:c>
      <x:c r="V4" s="7" t="str">
        <x:v>Todo</x:v>
      </x:c>
      <x:c r="W4" s="7" t="str"/>
      <x:c r="X4" s="9" t="str">
        <x:v>Internal Sydney date. Estimate includes implementation, author checks and handoff; reviewer time is separately budgeted.</x:v>
      </x:c>
      <x:c r="Y4" s="12" t="n">
        <x:f>INT((M4-'Import Guide'!$B$3)/7)+1</x:f>
        <x:v>1</x:v>
      </x:c>
      <x:c r="Z4" s="12" t="str">
        <x:f>VLOOKUP(A4,'Dependencies'!$A$2:$G$224,7,FALSE)</x:f>
        <x:v>OK</x:v>
      </x:c>
      <x:c r="AA4" s="12" t="str">
        <x:f>IF(COUNTIFS('Milestones'!$A$2:$A$7,G4)&lt;&gt;1,"BAD GATE",IF(M4&lt;=VLOOKUP(G4,'Milestones'!$A$2:$C$7,3,FALSE),"OK","LATE"))</x:f>
        <x:v>OK</x:v>
      </x:c>
      <x:c r="AB4" s="12" t="n">
        <x:f>IF(OR(V4="Done",V4="Cut"),"",M4-TODAY())</x:f>
        <x:v>5</x:v>
      </x:c>
    </x:row>
    <x:row r="5" ht="90" customHeight="1">
      <x:c r="A5" s="7" t="str">
        <x:v>RV-01</x:v>
      </x:c>
      <x:c r="B5" s="7" t="str">
        <x:v>Recover real segmentation weights and record provenance</x:v>
      </x:c>
      <x:c r="C5" s="9" t="str">
        <x:v>The 132-byte segmentation file is an LFS pointer. Obtain the 9505431-byte object through the team's authorized clone.</x:v>
      </x:c>
      <x:c r="D5" s="9" t="str">
        <x:v>SHA256 matches pointer; model loads a sample; offline copy and checksum available.</x:v>
      </x:c>
      <x:c r="E5" s="7" t="str">
        <x:v>A1 Revamp</x:v>
      </x:c>
      <x:c r="F5" s="7" t="str">
        <x:v>B</x:v>
      </x:c>
      <x:c r="G5" s="7" t="str">
        <x:v>G0</x:v>
      </x:c>
      <x:c r="H5" s="7" t="str">
        <x:v>P0 must</x:v>
      </x:c>
      <x:c r="I5" s="7" t="str">
        <x:v>Mohammad</x:v>
      </x:c>
      <x:c r="J5" s="7" t="str">
        <x:f>IF(VLOOKUP(I5,'Team'!$A$2:$B$7,2,FALSE)="","",VLOOKUP(I5,'Team'!$A$2:$B$7,2,FALSE))</x:f>
        <x:v>kkaaman</x:v>
      </x:c>
      <x:c r="K5" s="7" t="str">
        <x:v>Alan</x:v>
      </x:c>
      <x:c r="L5" s="10" t="n">
        <x:v>46307</x:v>
      </x:c>
      <x:c r="M5" s="10" t="n">
        <x:v>46307</x:v>
      </x:c>
      <x:c r="N5" s="11" t="n">
        <x:v>1.5</x:v>
      </x:c>
      <x:c r="O5" s="7" t="str"/>
      <x:c r="P5" s="7" t="str">
        <x:v>TEST-01, BL-B-05</x:v>
      </x:c>
      <x:c r="Q5" s="7" t="str">
        <x:v>N</x:v>
      </x:c>
      <x:c r="R5" s="7" t="str">
        <x:v>segmentation_model.pth; docs/assets.md</x:v>
      </x:c>
      <x:c r="S5" s="7" t="str">
        <x:v>Segmentation weight checksum and load log</x:v>
      </x:c>
      <x:c r="T5" s="7" t="str">
        <x:v>Extension and design decisions</x:v>
      </x:c>
      <x:c r="U5" s="7" t="str">
        <x:v>workstream:b;priority:p0;category:a1-revamp</x:v>
      </x:c>
      <x:c r="V5" s="7" t="str">
        <x:v>Todo</x:v>
      </x:c>
      <x:c r="W5" s="7" t="str"/>
      <x:c r="X5" s="9" t="str">
        <x:v>Internal Sydney date. Estimate includes implementation, author checks and handoff; reviewer time is separately budgeted.</x:v>
      </x:c>
      <x:c r="Y5" s="12" t="n">
        <x:f>INT((M5-'Import Guide'!$B$3)/7)+1</x:f>
        <x:v>1</x:v>
      </x:c>
      <x:c r="Z5" s="12" t="str">
        <x:f>VLOOKUP(A5,'Dependencies'!$A$2:$G$224,7,FALSE)</x:f>
        <x:v>OK</x:v>
      </x:c>
      <x:c r="AA5" s="12" t="str">
        <x:f>IF(COUNTIFS('Milestones'!$A$2:$A$7,G5)&lt;&gt;1,"BAD GATE",IF(M5&lt;=VLOOKUP(G5,'Milestones'!$A$2:$C$7,3,FALSE),"OK","LATE"))</x:f>
        <x:v>OK</x:v>
      </x:c>
      <x:c r="AB5" s="12" t="n">
        <x:f>IF(OR(V5="Done",V5="Cut"),"",M5-TODAY())</x:f>
        <x:v>4</x:v>
      </x:c>
    </x:row>
    <x:row r="6" ht="90" customHeight="1">
      <x:c r="A6" s="7" t="str">
        <x:v>RV-02</x:v>
      </x:c>
      <x:c r="B6" s="7" t="str">
        <x:v>Recover lane weights and compare duplicate lane code</x:v>
      </x:c>
      <x:c r="C6" s="9" t="str">
        <x:v>Recover the 57385466-byte LFS object; compare both lane trees before selecting canonical implementations.</x:v>
      </x:c>
      <x:c r="D6" s="9" t="str">
        <x:v>Weight matches SHA256; differences in lane_path and lane_inference documented; no blind deletion.</x:v>
      </x:c>
      <x:c r="E6" s="7" t="str">
        <x:v>A1 Revamp</x:v>
      </x:c>
      <x:c r="F6" s="7" t="str">
        <x:v>E</x:v>
      </x:c>
      <x:c r="G6" s="7" t="str">
        <x:v>G0</x:v>
      </x:c>
      <x:c r="H6" s="7" t="str">
        <x:v>P0 must</x:v>
      </x:c>
      <x:c r="I6" s="7" t="str">
        <x:v>Abdullah</x:v>
      </x:c>
      <x:c r="J6" s="7" t="str">
        <x:f>IF(VLOOKUP(I6,'Team'!$A$2:$B$7,2,FALSE)="","",VLOOKUP(I6,'Team'!$A$2:$B$7,2,FALSE))</x:f>
      </x:c>
      <x:c r="K6" s="7" t="str">
        <x:v>Zhaolin</x:v>
      </x:c>
      <x:c r="L6" s="10" t="n">
        <x:v>46307</x:v>
      </x:c>
      <x:c r="M6" s="10" t="n">
        <x:v>46307</x:v>
      </x:c>
      <x:c r="N6" s="11" t="n">
        <x:v>1.5</x:v>
      </x:c>
      <x:c r="O6" s="7" t="str"/>
      <x:c r="P6" s="7" t="str">
        <x:v>RV-03</x:v>
      </x:c>
      <x:c r="Q6" s="7" t="str">
        <x:v>N</x:v>
      </x:c>
      <x:c r="R6" s="7" t="str">
        <x:v>lane_unet_best.pth; src/perception/</x:v>
      </x:c>
      <x:c r="S6" s="7" t="str">
        <x:v>Lane weight checksum and difference inventory</x:v>
      </x:c>
      <x:c r="T6" s="7" t="str">
        <x:v>Extension and design decisions</x:v>
      </x:c>
      <x:c r="U6" s="7" t="str">
        <x:v>workstream:e;priority:p0;category:a1-revamp</x:v>
      </x:c>
      <x:c r="V6" s="7" t="str">
        <x:v>Todo</x:v>
      </x:c>
      <x:c r="W6" s="7" t="str"/>
      <x:c r="X6" s="9" t="str">
        <x:v>Internal Sydney date. Estimate includes implementation, author checks and handoff; reviewer time is separately budgeted.</x:v>
      </x:c>
      <x:c r="Y6" s="12" t="n">
        <x:f>INT((M6-'Import Guide'!$B$3)/7)+1</x:f>
        <x:v>1</x:v>
      </x:c>
      <x:c r="Z6" s="12" t="str">
        <x:f>VLOOKUP(A6,'Dependencies'!$A$2:$G$224,7,FALSE)</x:f>
        <x:v>OK</x:v>
      </x:c>
      <x:c r="AA6" s="12" t="str">
        <x:f>IF(COUNTIFS('Milestones'!$A$2:$A$7,G6)&lt;&gt;1,"BAD GATE",IF(M6&lt;=VLOOKUP(G6,'Milestones'!$A$2:$C$7,3,FALSE),"OK","LATE"))</x:f>
        <x:v>OK</x:v>
      </x:c>
      <x:c r="AB6" s="12" t="n">
        <x:f>IF(OR(V6="Done",V6="Cut"),"",M6-TODAY())</x:f>
        <x:v>4</x:v>
      </x:c>
    </x:row>
    <x:row r="7" ht="90" customHeight="1">
      <x:c r="A7" s="7" t="str">
        <x:v>RV-03</x:v>
      </x:c>
      <x:c r="B7" s="7" t="str">
        <x:v>Consolidate lane modules with compatibility imports</x:v>
      </x:c>
      <x:c r="C7" s="9" t="str">
        <x:v>Keep src/perception canonical, port useful differences and preserve old import shims with a deprecation note.</x:v>
      </x:c>
      <x:c r="D7" s="9" t="str">
        <x:v>Existing lane tests plus representative masks produce expected paths through both public import routes.</x:v>
      </x:c>
      <x:c r="E7" s="7" t="str">
        <x:v>A1 Revamp</x:v>
      </x:c>
      <x:c r="F7" s="7" t="str">
        <x:v>E</x:v>
      </x:c>
      <x:c r="G7" s="7" t="str">
        <x:v>G0</x:v>
      </x:c>
      <x:c r="H7" s="7" t="str">
        <x:v>P0 must</x:v>
      </x:c>
      <x:c r="I7" s="7" t="str">
        <x:v>Abdullah</x:v>
      </x:c>
      <x:c r="J7" s="7" t="str">
        <x:f>IF(VLOOKUP(I7,'Team'!$A$2:$B$7,2,FALSE)="","",VLOOKUP(I7,'Team'!$A$2:$B$7,2,FALSE))</x:f>
      </x:c>
      <x:c r="K7" s="7" t="str">
        <x:v>Zhaolin</x:v>
      </x:c>
      <x:c r="L7" s="10" t="n">
        <x:v>46308</x:v>
      </x:c>
      <x:c r="M7" s="10" t="n">
        <x:v>46308</x:v>
      </x:c>
      <x:c r="N7" s="11" t="n">
        <x:v>2</x:v>
      </x:c>
      <x:c r="O7" s="7" t="str">
        <x:v>RV-02</x:v>
      </x:c>
      <x:c r="P7" s="7" t="str">
        <x:v>TEST-01, G0-01, RV-06</x:v>
      </x:c>
      <x:c r="Q7" s="7" t="str">
        <x:v>N</x:v>
      </x:c>
      <x:c r="R7" s="7" t="str">
        <x:v>src/perception/; src/autodrive/perception/</x:v>
      </x:c>
      <x:c r="S7" s="7" t="str">
        <x:v>Compatibility test results</x:v>
      </x:c>
      <x:c r="T7" s="7" t="str">
        <x:v>Extension and design decisions</x:v>
      </x:c>
      <x:c r="U7" s="7" t="str">
        <x:v>workstream:e;priority:p0;category:a1-revamp</x:v>
      </x:c>
      <x:c r="V7" s="7" t="str">
        <x:v>Todo</x:v>
      </x:c>
      <x:c r="W7" s="7" t="str"/>
      <x:c r="X7" s="9" t="str">
        <x:v>Internal Sydney date. Estimate includes implementation, author checks and handoff; reviewer time is separately budgeted.</x:v>
      </x:c>
      <x:c r="Y7" s="12" t="n">
        <x:f>INT((M7-'Import Guide'!$B$3)/7)+1</x:f>
        <x:v>1</x:v>
      </x:c>
      <x:c r="Z7" s="12" t="str">
        <x:f>VLOOKUP(A7,'Dependencies'!$A$2:$G$224,7,FALSE)</x:f>
        <x:v>OK</x:v>
      </x:c>
      <x:c r="AA7" s="12" t="str">
        <x:f>IF(COUNTIFS('Milestones'!$A$2:$A$7,G7)&lt;&gt;1,"BAD GATE",IF(M7&lt;=VLOOKUP(G7,'Milestones'!$A$2:$C$7,3,FALSE),"OK","LATE"))</x:f>
        <x:v>OK</x:v>
      </x:c>
      <x:c r="AB7" s="12" t="n">
        <x:f>IF(OR(V7="Done",V7="Cut"),"",M7-TODAY())</x:f>
        <x:v>5</x:v>
      </x:c>
    </x:row>
    <x:row r="8" ht="90" customHeight="1">
      <x:c r="A8" s="7" t="str">
        <x:v>BL-F-01</x:v>
      </x:c>
      <x:c r="B8" s="7" t="str">
        <x:v>Specify simulator boundary and data contracts</x:v>
      </x:c>
      <x:c r="C8" s="9" t="str">
        <x:v>Define plain FrameBundle, ego pose, graph, diagnostics and control packets; distinguish sensor and evaluation truth.</x:v>
      </x:c>
      <x:c r="D8" s="9" t="str">
        <x:v>All six owners review units, axes, frame IDs, timestamp clocks and lifecycle; no CARLA type in core signatures.</x:v>
      </x:c>
      <x:c r="E8" s="7" t="str">
        <x:v>Baseline</x:v>
      </x:c>
      <x:c r="F8" s="7" t="str">
        <x:v>F</x:v>
      </x:c>
      <x:c r="G8" s="7" t="str">
        <x:v>G0</x:v>
      </x:c>
      <x:c r="H8" s="7" t="str">
        <x:v>P0 must</x:v>
      </x:c>
      <x:c r="I8" s="7" t="str">
        <x:v>Saviour</x:v>
      </x:c>
      <x:c r="J8" s="7" t="str">
        <x:f>IF(VLOOKUP(I8,'Team'!$A$2:$B$7,2,FALSE)="","",VLOOKUP(I8,'Team'!$A$2:$B$7,2,FALSE))</x:f>
      </x:c>
      <x:c r="K8" s="7" t="str">
        <x:v>Ricky</x:v>
      </x:c>
      <x:c r="L8" s="10" t="n">
        <x:v>46307</x:v>
      </x:c>
      <x:c r="M8" s="10" t="n">
        <x:v>46307</x:v>
      </x:c>
      <x:c r="N8" s="11" t="n">
        <x:v>2.5</x:v>
      </x:c>
      <x:c r="O8" s="7" t="str"/>
      <x:c r="P8" s="7" t="str">
        <x:v>BL-B-01, BL-F-02, BL-D-02, E4-01</x:v>
      </x:c>
      <x:c r="Q8" s="7" t="str">
        <x:v>N</x:v>
      </x:c>
      <x:c r="R8" s="7" t="str">
        <x:v>src/autonomy/interfaces.py; docs/interfaces.md</x:v>
      </x:c>
      <x:c r="S8" s="7" t="str">
        <x:v>Versioned interface specification</x:v>
      </x:c>
      <x:c r="T8" s="7" t="str">
        <x:v>Extension and design decisions</x:v>
      </x:c>
      <x:c r="U8" s="7" t="str">
        <x:v>workstream:f;priority:p0;category:baseline</x:v>
      </x:c>
      <x:c r="V8" s="7" t="str">
        <x:v>Todo</x:v>
      </x:c>
      <x:c r="W8" s="7" t="str"/>
      <x:c r="X8" s="9" t="str">
        <x:v>Internal Sydney date. Estimate includes implementation, author checks and handoff; reviewer time is separately budgeted.</x:v>
      </x:c>
      <x:c r="Y8" s="12" t="n">
        <x:f>INT((M8-'Import Guide'!$B$3)/7)+1</x:f>
        <x:v>1</x:v>
      </x:c>
      <x:c r="Z8" s="12" t="str">
        <x:f>VLOOKUP(A8,'Dependencies'!$A$2:$G$224,7,FALSE)</x:f>
        <x:v>OK</x:v>
      </x:c>
      <x:c r="AA8" s="12" t="str">
        <x:f>IF(COUNTIFS('Milestones'!$A$2:$A$7,G8)&lt;&gt;1,"BAD GATE",IF(M8&lt;=VLOOKUP(G8,'Milestones'!$A$2:$C$7,3,FALSE),"OK","LATE"))</x:f>
        <x:v>OK</x:v>
      </x:c>
      <x:c r="AB8" s="12" t="n">
        <x:f>IF(OR(V8="Done",V8="Cut"),"",M8-TODAY())</x:f>
        <x:v>4</x:v>
      </x:c>
    </x:row>
    <x:row r="9" ht="90" customHeight="1">
      <x:c r="A9" s="7" t="str">
        <x:v>BL-C-01</x:v>
      </x:c>
      <x:c r="B9" s="7" t="str">
        <x:v>Specify detector and obstacle contracts</x:v>
      </x:c>
      <x:c r="C9" s="9" t="str">
        <x:v>Define reset, track/detect timing, optional track ID, namespaced identities, model version and observation validity.</x:v>
      </x:c>
      <x:c r="D9" s="9" t="str">
        <x:v>Local/remote fake implementations satisfy one protocol; Obstacle includes source, frame, extent and confidence.</x:v>
      </x:c>
      <x:c r="E9" s="7" t="str">
        <x:v>Baseline</x:v>
      </x:c>
      <x:c r="F9" s="7" t="str">
        <x:v>C</x:v>
      </x:c>
      <x:c r="G9" s="7" t="str">
        <x:v>G0</x:v>
      </x:c>
      <x:c r="H9" s="7" t="str">
        <x:v>P0 must</x:v>
      </x:c>
      <x:c r="I9" s="7" t="str">
        <x:v>Ricky</x:v>
      </x:c>
      <x:c r="J9" s="7" t="str">
        <x:f>IF(VLOOKUP(I9,'Team'!$A$2:$B$7,2,FALSE)="","",VLOOKUP(I9,'Team'!$A$2:$B$7,2,FALSE))</x:f>
      </x:c>
      <x:c r="K9" s="7" t="str">
        <x:v>Saviour</x:v>
      </x:c>
      <x:c r="L9" s="10" t="n">
        <x:v>46307</x:v>
      </x:c>
      <x:c r="M9" s="10" t="n">
        <x:v>46307</x:v>
      </x:c>
      <x:c r="N9" s="11" t="n">
        <x:v>2</x:v>
      </x:c>
      <x:c r="O9" s="7" t="str"/>
      <x:c r="P9" s="7" t="str">
        <x:v>BL-F-02, BL-C-02, BL-C-03, E2-01, E5-01, DOC-01</x:v>
      </x:c>
      <x:c r="Q9" s="7" t="str">
        <x:v>N</x:v>
      </x:c>
      <x:c r="R9" s="7" t="str">
        <x:v>src/autonomy/interfaces.py; src/obstacle_perception/types.py</x:v>
      </x:c>
      <x:c r="S9" s="7" t="str">
        <x:v>Contract fixtures</x:v>
      </x:c>
      <x:c r="T9" s="7" t="str">
        <x:v>Extension and design decisions</x:v>
      </x:c>
      <x:c r="U9" s="7" t="str">
        <x:v>workstream:c;priority:p0;category:baseline</x:v>
      </x:c>
      <x:c r="V9" s="7" t="str">
        <x:v>Todo</x:v>
      </x:c>
      <x:c r="W9" s="7" t="str"/>
      <x:c r="X9" s="9" t="str">
        <x:v>Internal Sydney date. Estimate includes implementation, author checks and handoff; reviewer time is separately budgeted.</x:v>
      </x:c>
      <x:c r="Y9" s="12" t="n">
        <x:f>INT((M9-'Import Guide'!$B$3)/7)+1</x:f>
        <x:v>1</x:v>
      </x:c>
      <x:c r="Z9" s="12" t="str">
        <x:f>VLOOKUP(A9,'Dependencies'!$A$2:$G$224,7,FALSE)</x:f>
        <x:v>OK</x:v>
      </x:c>
      <x:c r="AA9" s="12" t="str">
        <x:f>IF(COUNTIFS('Milestones'!$A$2:$A$7,G9)&lt;&gt;1,"BAD GATE",IF(M9&lt;=VLOOKUP(G9,'Milestones'!$A$2:$C$7,3,FALSE),"OK","LATE"))</x:f>
        <x:v>OK</x:v>
      </x:c>
      <x:c r="AB9" s="12" t="n">
        <x:f>IF(OR(V9="Done",V9="Cut"),"",M9-TODAY())</x:f>
        <x:v>4</x:v>
      </x:c>
    </x:row>
    <x:row r="10" ht="90" customHeight="1">
      <x:c r="A10" s="7" t="str">
        <x:v>BL-D-01</x:v>
      </x:c>
      <x:c r="B10" s="7" t="str">
        <x:v>Specify RGB-D association and acceptance definitions</x:v>
      </x:c>
      <x:c r="C10" s="9" t="str">
        <x:v>Describe BGRA decode, optical/ray convention test, extrinsics, corridor footprints and missing-depth policy.</x:v>
      </x:c>
      <x:c r="D10" s="9" t="str">
        <x:v>Worked coordinate example and per-scenario applicable metrics reviewed; S4 completion marked not applicable.</x:v>
      </x:c>
      <x:c r="E10" s="7" t="str">
        <x:v>Baseline</x:v>
      </x:c>
      <x:c r="F10" s="7" t="str">
        <x:v>D</x:v>
      </x:c>
      <x:c r="G10" s="7" t="str">
        <x:v>G0</x:v>
      </x:c>
      <x:c r="H10" s="7" t="str">
        <x:v>P0 must</x:v>
      </x:c>
      <x:c r="I10" s="7" t="str">
        <x:v>Alan</x:v>
      </x:c>
      <x:c r="J10" s="7" t="str">
        <x:f>IF(VLOOKUP(I10,'Team'!$A$2:$B$7,2,FALSE)="","",VLOOKUP(I10,'Team'!$A$2:$B$7,2,FALSE))</x:f>
      </x:c>
      <x:c r="K10" s="7" t="str">
        <x:v>Mohammad</x:v>
      </x:c>
      <x:c r="L10" s="10" t="n">
        <x:v>46307</x:v>
      </x:c>
      <x:c r="M10" s="10" t="n">
        <x:v>46307</x:v>
      </x:c>
      <x:c r="N10" s="11" t="n">
        <x:v>2.5</x:v>
      </x:c>
      <x:c r="O10" s="7" t="str"/>
      <x:c r="P10" s="7" t="str">
        <x:v>BL-F-02, BL-D-02</x:v>
      </x:c>
      <x:c r="Q10" s="7" t="str">
        <x:v>N</x:v>
      </x:c>
      <x:c r="R10" s="7" t="str">
        <x:v>docs/depth-association.md; docs/acceptance.md</x:v>
      </x:c>
      <x:c r="S10" s="7" t="str">
        <x:v>Geometry and acceptance specification</x:v>
      </x:c>
      <x:c r="T10" s="7" t="str">
        <x:v>Extension and design decisions</x:v>
      </x:c>
      <x:c r="U10" s="7" t="str">
        <x:v>workstream:d;priority:p0;category:baseline</x:v>
      </x:c>
      <x:c r="V10" s="7" t="str">
        <x:v>Todo</x:v>
      </x:c>
      <x:c r="W10" s="7" t="str"/>
      <x:c r="X10" s="9" t="str">
        <x:v>Internal Sydney date. Estimate includes implementation, author checks and handoff; reviewer time is separately budgeted.</x:v>
      </x:c>
      <x:c r="Y10" s="12" t="n">
        <x:f>INT((M10-'Import Guide'!$B$3)/7)+1</x:f>
        <x:v>1</x:v>
      </x:c>
      <x:c r="Z10" s="12" t="str">
        <x:f>VLOOKUP(A10,'Dependencies'!$A$2:$G$224,7,FALSE)</x:f>
        <x:v>OK</x:v>
      </x:c>
      <x:c r="AA10" s="12" t="str">
        <x:f>IF(COUNTIFS('Milestones'!$A$2:$A$7,G10)&lt;&gt;1,"BAD GATE",IF(M10&lt;=VLOOKUP(G10,'Milestones'!$A$2:$C$7,3,FALSE),"OK","LATE"))</x:f>
        <x:v>OK</x:v>
      </x:c>
      <x:c r="AB10" s="12" t="n">
        <x:f>IF(OR(V10="Done",V10="Cut"),"",M10-TODAY())</x:f>
        <x:v>4</x:v>
      </x:c>
    </x:row>
    <x:row r="11" ht="90" customHeight="1">
      <x:c r="A11" s="7" t="str">
        <x:v>BL-A-01</x:v>
      </x:c>
      <x:c r="B11" s="7" t="str">
        <x:v>Audit forward controller contracts and design mission</x:v>
      </x:c>
      <x:c r="C11" s="9" t="str">
        <x:v>Preserve rear-axle, positive-left and nonnegative-speed API; choose an open non-self-crossing route specification.</x:v>
      </x:c>
      <x:c r="D11" s="9" t="str">
        <x:v>Document endpoint brake/reset semantics and tentative maneuver list; no repeated set_path in cruise.</x:v>
      </x:c>
      <x:c r="E11" s="7" t="str">
        <x:v>Baseline</x:v>
      </x:c>
      <x:c r="F11" s="7" t="str">
        <x:v>A</x:v>
      </x:c>
      <x:c r="G11" s="7" t="str">
        <x:v>G0</x:v>
      </x:c>
      <x:c r="H11" s="7" t="str">
        <x:v>P0 must</x:v>
      </x:c>
      <x:c r="I11" s="7" t="str">
        <x:v>Zhaolin</x:v>
      </x:c>
      <x:c r="J11" s="7" t="str">
        <x:f>IF(VLOOKUP(I11,'Team'!$A$2:$B$7,2,FALSE)="","",VLOOKUP(I11,'Team'!$A$2:$B$7,2,FALSE))</x:f>
      </x:c>
      <x:c r="K11" s="7" t="str">
        <x:v>Abdullah</x:v>
      </x:c>
      <x:c r="L11" s="10" t="n">
        <x:v>46307</x:v>
      </x:c>
      <x:c r="M11" s="10" t="n">
        <x:v>46307</x:v>
      </x:c>
      <x:c r="N11" s="11" t="n">
        <x:v>2.5</x:v>
      </x:c>
      <x:c r="O11" s="7" t="str"/>
      <x:c r="P11" s="7" t="str">
        <x:v>BL-E-01, BL-A-02, BL-F-03</x:v>
      </x:c>
      <x:c r="Q11" s="7" t="str">
        <x:v>N</x:v>
      </x:c>
      <x:c r="R11" s="7" t="str">
        <x:v>src/navigation_control/; docs/mission.md</x:v>
      </x:c>
      <x:c r="S11" s="7" t="str">
        <x:v>Controller reuse note</x:v>
      </x:c>
      <x:c r="T11" s="7" t="str">
        <x:v>Extension and design decisions</x:v>
      </x:c>
      <x:c r="U11" s="7" t="str">
        <x:v>workstream:a;priority:p0;category:baseline</x:v>
      </x:c>
      <x:c r="V11" s="7" t="str">
        <x:v>Todo</x:v>
      </x:c>
      <x:c r="W11" s="7" t="str"/>
      <x:c r="X11" s="9" t="str">
        <x:v>Internal Sydney date. Estimate includes implementation, author checks and handoff; reviewer time is separately budgeted.</x:v>
      </x:c>
      <x:c r="Y11" s="12" t="n">
        <x:f>INT((M11-'Import Guide'!$B$3)/7)+1</x:f>
        <x:v>1</x:v>
      </x:c>
      <x:c r="Z11" s="12" t="str">
        <x:f>VLOOKUP(A11,'Dependencies'!$A$2:$G$224,7,FALSE)</x:f>
        <x:v>OK</x:v>
      </x:c>
      <x:c r="AA11" s="12" t="str">
        <x:f>IF(COUNTIFS('Milestones'!$A$2:$A$7,G11)&lt;&gt;1,"BAD GATE",IF(M11&lt;=VLOOKUP(G11,'Milestones'!$A$2:$C$7,3,FALSE),"OK","LATE"))</x:f>
        <x:v>OK</x:v>
      </x:c>
      <x:c r="AB11" s="12" t="n">
        <x:f>IF(OR(V11="Done",V11="Cut"),"",M11-TODAY())</x:f>
        <x:v>4</x:v>
      </x:c>
    </x:row>
    <x:row r="12" ht="90" customHeight="1">
      <x:c r="A12" s="7" t="str">
        <x:v>BL-E-01</x:v>
      </x:c>
      <x:c r="B12" s="7" t="str">
        <x:v>Implement fixed-vehicle geometry and actuator adapter</x:v>
      </x:c>
      <x:c r="C12" s="9" t="str">
        <x:v>Select one blueprint; read wheels and verify their coordinate frame/units on the installed build; separate physical steering maximum from controller cap.</x:v>
      </x:c>
      <x:c r="D12" s="9" t="str">
        <x:v>Rear axle and wheelbase pass sanity checks; left/right sign verified; ambiguous wheel geometry fails clearly.</x:v>
      </x:c>
      <x:c r="E12" s="7" t="str">
        <x:v>Baseline</x:v>
      </x:c>
      <x:c r="F12" s="7" t="str">
        <x:v>E</x:v>
      </x:c>
      <x:c r="G12" s="7" t="str">
        <x:v>G0</x:v>
      </x:c>
      <x:c r="H12" s="7" t="str">
        <x:v>P0 must</x:v>
      </x:c>
      <x:c r="I12" s="7" t="str">
        <x:v>Abdullah</x:v>
      </x:c>
      <x:c r="J12" s="7" t="str">
        <x:f>IF(VLOOKUP(I12,'Team'!$A$2:$B$7,2,FALSE)="","",VLOOKUP(I12,'Team'!$A$2:$B$7,2,FALSE))</x:f>
      </x:c>
      <x:c r="K12" s="7" t="str">
        <x:v>Zhaolin</x:v>
      </x:c>
      <x:c r="L12" s="10" t="n">
        <x:v>46308</x:v>
      </x:c>
      <x:c r="M12" s="10" t="n">
        <x:v>46308</x:v>
      </x:c>
      <x:c r="N12" s="11" t="n">
        <x:v>3</x:v>
      </x:c>
      <x:c r="O12" s="7" t="str">
        <x:v>PROC-02,BL-A-01</x:v>
      </x:c>
      <x:c r="P12" s="7" t="str">
        <x:v>TEST-01, BL-E-02, BL-A-04, E5-05</x:v>
      </x:c>
      <x:c r="Q12" s="7" t="str">
        <x:v>Y</x:v>
      </x:c>
      <x:c r="R12" s="7" t="str">
        <x:v>src/carla_adapter/vehicle.py; conversions.py</x:v>
      </x:c>
      <x:c r="S12" s="7" t="str">
        <x:v>Physics snapshot and geometry tests</x:v>
      </x:c>
      <x:c r="T12" s="7" t="str">
        <x:v>Extension and design decisions</x:v>
      </x:c>
      <x:c r="U12" s="7" t="str">
        <x:v>workstream:e;priority:p0;carla-required;category:baseline</x:v>
      </x:c>
      <x:c r="V12" s="7" t="str">
        <x:v>Todo</x:v>
      </x:c>
      <x:c r="W12" s="7" t="str"/>
      <x:c r="X12" s="9" t="str">
        <x:v>Internal Sydney date. Estimate includes implementation, author checks and handoff; reviewer time is separately budgeted.</x:v>
      </x:c>
      <x:c r="Y12" s="12" t="n">
        <x:f>INT((M12-'Import Guide'!$B$3)/7)+1</x:f>
        <x:v>1</x:v>
      </x:c>
      <x:c r="Z12" s="12" t="str">
        <x:f>VLOOKUP(A12,'Dependencies'!$A$2:$G$224,7,FALSE)</x:f>
        <x:v>OK</x:v>
      </x:c>
      <x:c r="AA12" s="12" t="str">
        <x:f>IF(COUNTIFS('Milestones'!$A$2:$A$7,G12)&lt;&gt;1,"BAD GATE",IF(M12&lt;=VLOOKUP(G12,'Milestones'!$A$2:$C$7,3,FALSE),"OK","LATE"))</x:f>
        <x:v>OK</x:v>
      </x:c>
      <x:c r="AB12" s="12" t="n">
        <x:f>IF(OR(V12="Done",V12="Cut"),"",M12-TODAY())</x:f>
        <x:v>5</x:v>
      </x:c>
    </x:row>
    <x:row r="13" ht="90" customHeight="1">
      <x:c r="A13" s="7" t="str">
        <x:v>BL-B-01</x:v>
      </x:c>
      <x:c r="B13" s="7" t="str">
        <x:v>Implement synchronous world and cleanup lifecycle</x:v>
      </x:c>
      <x:c r="C13" s="9" t="str">
        <x:v>One tick owner, fixed step, physics substep consistency, sensors disabled until configured; restore previous settings in finally.</x:v>
      </x:c>
      <x:c r="D13" s="9" t="str">
        <x:v>Repeated start/stop leaves no actors or changed world settings; timeout forces stop command.</x:v>
      </x:c>
      <x:c r="E13" s="7" t="str">
        <x:v>Baseline</x:v>
      </x:c>
      <x:c r="F13" s="7" t="str">
        <x:v>B</x:v>
      </x:c>
      <x:c r="G13" s="7" t="str">
        <x:v>G0</x:v>
      </x:c>
      <x:c r="H13" s="7" t="str">
        <x:v>P0 must</x:v>
      </x:c>
      <x:c r="I13" s="7" t="str">
        <x:v>Mohammad</x:v>
      </x:c>
      <x:c r="J13" s="7" t="str">
        <x:f>IF(VLOOKUP(I13,'Team'!$A$2:$B$7,2,FALSE)="","",VLOOKUP(I13,'Team'!$A$2:$B$7,2,FALSE))</x:f>
        <x:v>kkaaman</x:v>
      </x:c>
      <x:c r="K13" s="7" t="str">
        <x:v>Alan</x:v>
      </x:c>
      <x:c r="L13" s="10" t="n">
        <x:v>46308</x:v>
      </x:c>
      <x:c r="M13" s="10" t="n">
        <x:v>46308</x:v>
      </x:c>
      <x:c r="N13" s="11" t="n">
        <x:v>3</x:v>
      </x:c>
      <x:c r="O13" s="7" t="str">
        <x:v>PROC-02,BL-F-01</x:v>
      </x:c>
      <x:c r="P13" s="7" t="str">
        <x:v>G0-01, BL-B-02, BL-E-02, BL-A-04</x:v>
      </x:c>
      <x:c r="Q13" s="7" t="str">
        <x:v>Y</x:v>
      </x:c>
      <x:c r="R13" s="7" t="str">
        <x:v>src/carla_adapter/world.py; carla_world.py</x:v>
      </x:c>
      <x:c r="S13" s="7" t="str">
        <x:v>Synchronous world smoke log</x:v>
      </x:c>
      <x:c r="T13" s="7" t="str">
        <x:v>Extension and design decisions</x:v>
      </x:c>
      <x:c r="U13" s="7" t="str">
        <x:v>workstream:b;priority:p0;carla-required;category:baseline</x:v>
      </x:c>
      <x:c r="V13" s="7" t="str">
        <x:v>Todo</x:v>
      </x:c>
      <x:c r="W13" s="7" t="str"/>
      <x:c r="X13" s="9" t="str">
        <x:v>Internal Sydney date. Estimate includes implementation, author checks and handoff; reviewer time is separately budgeted.</x:v>
      </x:c>
      <x:c r="Y13" s="12" t="n">
        <x:f>INT((M13-'Import Guide'!$B$3)/7)+1</x:f>
        <x:v>1</x:v>
      </x:c>
      <x:c r="Z13" s="12" t="str">
        <x:f>VLOOKUP(A13,'Dependencies'!$A$2:$G$224,7,FALSE)</x:f>
        <x:v>OK</x:v>
      </x:c>
      <x:c r="AA13" s="12" t="str">
        <x:f>IF(COUNTIFS('Milestones'!$A$2:$A$7,G13)&lt;&gt;1,"BAD GATE",IF(M13&lt;=VLOOKUP(G13,'Milestones'!$A$2:$C$7,3,FALSE),"OK","LATE"))</x:f>
        <x:v>OK</x:v>
      </x:c>
      <x:c r="AB13" s="12" t="n">
        <x:f>IF(OR(V13="Done",V13="Cut"),"",M13-TODAY())</x:f>
        <x:v>5</x:v>
      </x:c>
    </x:row>
    <x:row r="14" ht="90" customHeight="1">
      <x:c r="A14" s="7" t="str">
        <x:v>BL-F-02</x:v>
      </x:c>
      <x:c r="B14" s="7" t="str">
        <x:v>Build validated config and runnable stack skeleton</x:v>
      </x:c>
      <x:c r="C14" s="9" t="str">
        <x:v>Implement lifecycle and AutonomyStack.step using fake frames, detector and world; add extension hooks.</x:v>
      </x:c>
      <x:c r="D14" s="9" t="str">
        <x:v>One harness step emits finite command, reason and timing; bad config or invalid state enters emergency stop.</x:v>
      </x:c>
      <x:c r="E14" s="7" t="str">
        <x:v>Baseline</x:v>
      </x:c>
      <x:c r="F14" s="7" t="str">
        <x:v>F</x:v>
      </x:c>
      <x:c r="G14" s="7" t="str">
        <x:v>G0</x:v>
      </x:c>
      <x:c r="H14" s="7" t="str">
        <x:v>P0 must</x:v>
      </x:c>
      <x:c r="I14" s="7" t="str">
        <x:v>Saviour</x:v>
      </x:c>
      <x:c r="J14" s="7" t="str">
        <x:f>IF(VLOOKUP(I14,'Team'!$A$2:$B$7,2,FALSE)="","",VLOOKUP(I14,'Team'!$A$2:$B$7,2,FALSE))</x:f>
      </x:c>
      <x:c r="K14" s="7" t="str">
        <x:v>Ricky</x:v>
      </x:c>
      <x:c r="L14" s="10" t="n">
        <x:v>46308</x:v>
      </x:c>
      <x:c r="M14" s="10" t="n">
        <x:v>46308</x:v>
      </x:c>
      <x:c r="N14" s="11" t="n">
        <x:v>2.5</x:v>
      </x:c>
      <x:c r="O14" s="7" t="str">
        <x:v>BL-F-01,BL-C-01,BL-D-01</x:v>
      </x:c>
      <x:c r="P14" s="7" t="str">
        <x:v>RV-05, G0-01, BL-F-03</x:v>
      </x:c>
      <x:c r="Q14" s="7" t="str">
        <x:v>N</x:v>
      </x:c>
      <x:c r="R14" s="7" t="str">
        <x:v>src/autonomy/stack.py; configs/stack.yaml</x:v>
      </x:c>
      <x:c r="S14" s="7" t="str">
        <x:v>Skeleton run artifact</x:v>
      </x:c>
      <x:c r="T14" s="7" t="str">
        <x:v>Extension and design decisions</x:v>
      </x:c>
      <x:c r="U14" s="7" t="str">
        <x:v>workstream:f;priority:p0;category:baseline</x:v>
      </x:c>
      <x:c r="V14" s="7" t="str">
        <x:v>Todo</x:v>
      </x:c>
      <x:c r="W14" s="7" t="str"/>
      <x:c r="X14" s="9" t="str">
        <x:v>Internal Sydney date. Estimate includes implementation, author checks and handoff; reviewer time is separately budgeted.</x:v>
      </x:c>
      <x:c r="Y14" s="12" t="n">
        <x:f>INT((M14-'Import Guide'!$B$3)/7)+1</x:f>
        <x:v>1</x:v>
      </x:c>
      <x:c r="Z14" s="12" t="str">
        <x:f>VLOOKUP(A14,'Dependencies'!$A$2:$G$224,7,FALSE)</x:f>
        <x:v>OK</x:v>
      </x:c>
      <x:c r="AA14" s="12" t="str">
        <x:f>IF(COUNTIFS('Milestones'!$A$2:$A$7,G14)&lt;&gt;1,"BAD GATE",IF(M14&lt;=VLOOKUP(G14,'Milestones'!$A$2:$C$7,3,FALSE),"OK","LATE"))</x:f>
        <x:v>OK</x:v>
      </x:c>
      <x:c r="AB14" s="12" t="n">
        <x:f>IF(OR(V14="Done",V14="Cut"),"",M14-TODAY())</x:f>
        <x:v>5</x:v>
      </x:c>
    </x:row>
    <x:row r="15" ht="90" customHeight="1">
      <x:c r="A15" s="7" t="str">
        <x:v>BL-D-02</x:v>
      </x:c>
      <x:c r="B15" s="7" t="str">
        <x:v>Implement camera and world transform primitives</x:v>
      </x:c>
      <x:c r="C15" s="9" t="str">
        <x:v>Move reusable ground_projection code into geometry; explicitly convert CARLA axes at boundary only.</x:v>
      </x:c>
      <x:c r="D15" s="9" t="str">
        <x:v>Known pixels at multiple headings round-trip; meters/radians tested; invalid intrinsics rejected.</x:v>
      </x:c>
      <x:c r="E15" s="7" t="str">
        <x:v>Baseline</x:v>
      </x:c>
      <x:c r="F15" s="7" t="str">
        <x:v>D</x:v>
      </x:c>
      <x:c r="G15" s="7" t="str">
        <x:v>G0</x:v>
      </x:c>
      <x:c r="H15" s="7" t="str">
        <x:v>P0 must</x:v>
      </x:c>
      <x:c r="I15" s="7" t="str">
        <x:v>Alan</x:v>
      </x:c>
      <x:c r="J15" s="7" t="str">
        <x:f>IF(VLOOKUP(I15,'Team'!$A$2:$B$7,2,FALSE)="","",VLOOKUP(I15,'Team'!$A$2:$B$7,2,FALSE))</x:f>
      </x:c>
      <x:c r="K15" s="7" t="str">
        <x:v>Mohammad</x:v>
      </x:c>
      <x:c r="L15" s="10" t="n">
        <x:v>46308</x:v>
      </x:c>
      <x:c r="M15" s="10" t="n">
        <x:v>46308</x:v>
      </x:c>
      <x:c r="N15" s="11" t="n">
        <x:v>2.5</x:v>
      </x:c>
      <x:c r="O15" s="7" t="str">
        <x:v>BL-D-01,BL-F-01</x:v>
      </x:c>
      <x:c r="P15" s="7" t="str">
        <x:v>RV-04, BL-B-02, BL-D-03</x:v>
      </x:c>
      <x:c r="Q15" s="7" t="str">
        <x:v>N</x:v>
      </x:c>
      <x:c r="R15" s="7" t="str">
        <x:v>src/geometry/; tests/unit/test_geometry.py</x:v>
      </x:c>
      <x:c r="S15" s="7" t="str">
        <x:v>Transform test output</x:v>
      </x:c>
      <x:c r="T15" s="7" t="str">
        <x:v>Extension and design decisions</x:v>
      </x:c>
      <x:c r="U15" s="7" t="str">
        <x:v>workstream:d;priority:p0;category:baseline</x:v>
      </x:c>
      <x:c r="V15" s="7" t="str">
        <x:v>Todo</x:v>
      </x:c>
      <x:c r="W15" s="7" t="str"/>
      <x:c r="X15" s="9" t="str">
        <x:v>Internal Sydney date. Estimate includes implementation, author checks and handoff; reviewer time is separately budgeted.</x:v>
      </x:c>
      <x:c r="Y15" s="12" t="n">
        <x:f>INT((M15-'Import Guide'!$B$3)/7)+1</x:f>
        <x:v>1</x:v>
      </x:c>
      <x:c r="Z15" s="12" t="str">
        <x:f>VLOOKUP(A15,'Dependencies'!$A$2:$G$224,7,FALSE)</x:f>
        <x:v>OK</x:v>
      </x:c>
      <x:c r="AA15" s="12" t="str">
        <x:f>IF(COUNTIFS('Milestones'!$A$2:$A$7,G15)&lt;&gt;1,"BAD GATE",IF(M15&lt;=VLOOKUP(G15,'Milestones'!$A$2:$C$7,3,FALSE),"OK","LATE"))</x:f>
        <x:v>OK</x:v>
      </x:c>
      <x:c r="AB15" s="12" t="n">
        <x:f>IF(OR(V15="Done",V15="Cut"),"",M15-TODAY())</x:f>
        <x:v>5</x:v>
      </x:c>
    </x:row>
    <x:row r="16" ht="90" customHeight="1">
      <x:c r="A16" s="7" t="str">
        <x:v>BL-C-02</x:v>
      </x:c>
      <x:c r="B16" s="7" t="str">
        <x:v>Add detector reset and selectable tracker configuration</x:v>
      </x:c>
      <x:c r="C16" s="9" t="str">
        <x:v>Retain A1 detect/track APIs; add explicit episode reset, configurable tracker and per-call timing.</x:v>
      </x:c>
      <x:c r="D16" s="9" t="str">
        <x:v>Stub tests show no track history across episodes; model weights resolved offline without implicit download.</x:v>
      </x:c>
      <x:c r="E16" s="7" t="str">
        <x:v>Baseline</x:v>
      </x:c>
      <x:c r="F16" s="7" t="str">
        <x:v>C</x:v>
      </x:c>
      <x:c r="G16" s="7" t="str">
        <x:v>G0</x:v>
      </x:c>
      <x:c r="H16" s="7" t="str">
        <x:v>P0 must</x:v>
      </x:c>
      <x:c r="I16" s="7" t="str">
        <x:v>Ricky</x:v>
      </x:c>
      <x:c r="J16" s="7" t="str">
        <x:f>IF(VLOOKUP(I16,'Team'!$A$2:$B$7,2,FALSE)="","",VLOOKUP(I16,'Team'!$A$2:$B$7,2,FALSE))</x:f>
      </x:c>
      <x:c r="K16" s="7" t="str">
        <x:v>Saviour</x:v>
      </x:c>
      <x:c r="L16" s="10" t="n">
        <x:v>46308</x:v>
      </x:c>
      <x:c r="M16" s="10" t="n">
        <x:v>46308</x:v>
      </x:c>
      <x:c r="N16" s="11" t="n">
        <x:v>3</x:v>
      </x:c>
      <x:c r="O16" s="7" t="str">
        <x:v>BL-C-01</x:v>
      </x:c>
      <x:c r="P16" s="7" t="str">
        <x:v>RV-04, BL-C-03, E4-01</x:v>
      </x:c>
      <x:c r="Q16" s="7" t="str">
        <x:v>N</x:v>
      </x:c>
      <x:c r="R16" s="7" t="str">
        <x:v>src/perception/object_detection.py; types.py</x:v>
      </x:c>
      <x:c r="S16" s="7" t="str">
        <x:v>Detector compatibility and reset tests</x:v>
      </x:c>
      <x:c r="T16" s="7" t="str">
        <x:v>Extension and design decisions</x:v>
      </x:c>
      <x:c r="U16" s="7" t="str">
        <x:v>workstream:c;priority:p0;category:baseline</x:v>
      </x:c>
      <x:c r="V16" s="7" t="str">
        <x:v>Todo</x:v>
      </x:c>
      <x:c r="W16" s="7" t="str"/>
      <x:c r="X16" s="9" t="str">
        <x:v>Internal Sydney date. Estimate includes implementation, author checks and handoff; reviewer time is separately budgeted.</x:v>
      </x:c>
      <x:c r="Y16" s="12" t="n">
        <x:f>INT((M16-'Import Guide'!$B$3)/7)+1</x:f>
        <x:v>1</x:v>
      </x:c>
      <x:c r="Z16" s="12" t="str">
        <x:f>VLOOKUP(A16,'Dependencies'!$A$2:$G$224,7,FALSE)</x:f>
        <x:v>OK</x:v>
      </x:c>
      <x:c r="AA16" s="12" t="str">
        <x:f>IF(COUNTIFS('Milestones'!$A$2:$A$7,G16)&lt;&gt;1,"BAD GATE",IF(M16&lt;=VLOOKUP(G16,'Milestones'!$A$2:$C$7,3,FALSE),"OK","LATE"))</x:f>
        <x:v>OK</x:v>
      </x:c>
      <x:c r="AB16" s="12" t="n">
        <x:f>IF(OR(V16="Done",V16="Cut"),"",M16-TODAY())</x:f>
        <x:v>5</x:v>
      </x:c>
    </x:row>
    <x:row r="17" ht="90" customHeight="1">
      <x:c r="A17" s="7" t="str">
        <x:v>BL-A-02</x:v>
      </x:c>
      <x:c r="B17" s="7" t="str">
        <x:v>Export lane topology as plain graph data</x:v>
      </x:c>
      <x:c r="C17" s="9" t="str">
        <x:v>Keep CARLA queries in topology adapter; export lane IDs, successors, polylines and junction endpoints.</x:v>
      </x:c>
      <x:c r="D17" s="9" t="str">
        <x:v>Core planner imports without CARLA; graph serialized deterministically; legal connections validated on map.</x:v>
      </x:c>
      <x:c r="E17" s="7" t="str">
        <x:v>Baseline</x:v>
      </x:c>
      <x:c r="F17" s="7" t="str">
        <x:v>A</x:v>
      </x:c>
      <x:c r="G17" s="7" t="str">
        <x:v>G0</x:v>
      </x:c>
      <x:c r="H17" s="7" t="str">
        <x:v>P0 must</x:v>
      </x:c>
      <x:c r="I17" s="7" t="str">
        <x:v>Zhaolin</x:v>
      </x:c>
      <x:c r="J17" s="7" t="str">
        <x:f>IF(VLOOKUP(I17,'Team'!$A$2:$B$7,2,FALSE)="","",VLOOKUP(I17,'Team'!$A$2:$B$7,2,FALSE))</x:f>
      </x:c>
      <x:c r="K17" s="7" t="str">
        <x:v>Abdullah</x:v>
      </x:c>
      <x:c r="L17" s="10" t="n">
        <x:v>46308</x:v>
      </x:c>
      <x:c r="M17" s="10" t="n">
        <x:v>46308</x:v>
      </x:c>
      <x:c r="N17" s="11" t="n">
        <x:v>3</x:v>
      </x:c>
      <x:c r="O17" s="7" t="str">
        <x:v>BL-A-01,PROC-02</x:v>
      </x:c>
      <x:c r="P17" s="7" t="str">
        <x:v>G0-01, BL-A-03, E3-01</x:v>
      </x:c>
      <x:c r="Q17" s="7" t="str">
        <x:v>Y</x:v>
      </x:c>
      <x:c r="R17" s="7" t="str">
        <x:v>src/carla_adapter/topology.py</x:v>
      </x:c>
      <x:c r="S17" s="7" t="str">
        <x:v>Town10HD graph fixture</x:v>
      </x:c>
      <x:c r="T17" s="7" t="str">
        <x:v>Extension and design decisions</x:v>
      </x:c>
      <x:c r="U17" s="7" t="str">
        <x:v>workstream:a;priority:p0;carla-required;category:baseline</x:v>
      </x:c>
      <x:c r="V17" s="7" t="str">
        <x:v>Todo</x:v>
      </x:c>
      <x:c r="W17" s="7" t="str"/>
      <x:c r="X17" s="9" t="str">
        <x:v>Internal Sydney date. Estimate includes implementation, author checks and handoff; reviewer time is separately budgeted.</x:v>
      </x:c>
      <x:c r="Y17" s="12" t="n">
        <x:f>INT((M17-'Import Guide'!$B$3)/7)+1</x:f>
        <x:v>1</x:v>
      </x:c>
      <x:c r="Z17" s="12" t="str">
        <x:f>VLOOKUP(A17,'Dependencies'!$A$2:$G$224,7,FALSE)</x:f>
        <x:v>OK</x:v>
      </x:c>
      <x:c r="AA17" s="12" t="str">
        <x:f>IF(COUNTIFS('Milestones'!$A$2:$A$7,G17)&lt;&gt;1,"BAD GATE",IF(M17&lt;=VLOOKUP(G17,'Milestones'!$A$2:$C$7,3,FALSE),"OK","LATE"))</x:f>
        <x:v>OK</x:v>
      </x:c>
      <x:c r="AB17" s="12" t="n">
        <x:f>IF(OR(V17="Done",V17="Cut"),"",M17-TODAY())</x:f>
        <x:v>5</x:v>
      </x:c>
    </x:row>
    <x:row r="18" ht="90" customHeight="1">
      <x:c r="A18" s="7" t="str">
        <x:v>TEST-01</x:v>
      </x:c>
      <x:c r="B18" s="7" t="str">
        <x:v>Capture the reproducible A1 settings comparison baseline</x:v>
      </x:c>
      <x:c r="C18" s="9" t="str">
        <x:v>Run isolated A1-settings configuration and capture CTE, speed, commands and failure video; keep original behavior identifiable.</x:v>
      </x:c>
      <x:c r="D18" s="9" t="str">
        <x:v>Archive raw data and hardware/config; label prompt's 0.22/1.14 m figures as unverified supplied results.</x:v>
      </x:c>
      <x:c r="E18" s="7" t="str">
        <x:v>Testing</x:v>
      </x:c>
      <x:c r="F18" s="7" t="str">
        <x:v>E</x:v>
      </x:c>
      <x:c r="G18" s="7" t="str">
        <x:v>G0</x:v>
      </x:c>
      <x:c r="H18" s="7" t="str">
        <x:v>P0 must</x:v>
      </x:c>
      <x:c r="I18" s="7" t="str">
        <x:v>Abdullah</x:v>
      </x:c>
      <x:c r="J18" s="7" t="str">
        <x:f>IF(VLOOKUP(I18,'Team'!$A$2:$B$7,2,FALSE)="","",VLOOKUP(I18,'Team'!$A$2:$B$7,2,FALSE))</x:f>
      </x:c>
      <x:c r="K18" s="7" t="str">
        <x:v>Zhaolin</x:v>
      </x:c>
      <x:c r="L18" s="10" t="n">
        <x:v>46309</x:v>
      </x:c>
      <x:c r="M18" s="10" t="n">
        <x:v>46309</x:v>
      </x:c>
      <x:c r="N18" s="11" t="n">
        <x:v>2</x:v>
      </x:c>
      <x:c r="O18" s="7" t="str">
        <x:v>BL-E-01,RV-03,RV-01</x:v>
      </x:c>
      <x:c r="P18" s="7" t="str">
        <x:v>G0-01, TEST-03</x:v>
      </x:c>
      <x:c r="Q18" s="7" t="str">
        <x:v>Y</x:v>
      </x:c>
      <x:c r="R18" s="7" t="str">
        <x:v>examples/a1/; evaluation/</x:v>
      </x:c>
      <x:c r="S18" s="7" t="str">
        <x:v>A1 comparison run folder</x:v>
      </x:c>
      <x:c r="T18" s="7" t="str">
        <x:v>Evidence and limitations</x:v>
      </x:c>
      <x:c r="U18" s="7" t="str">
        <x:v>workstream:e;priority:p0;carla-required;category:testing</x:v>
      </x:c>
      <x:c r="V18" s="7" t="str">
        <x:v>Todo</x:v>
      </x:c>
      <x:c r="W18" s="7" t="str"/>
      <x:c r="X18" s="9" t="str">
        <x:v>Internal Sydney date. Estimate includes implementation, author checks and handoff; reviewer time is separately budgeted.</x:v>
      </x:c>
      <x:c r="Y18" s="12" t="n">
        <x:f>INT((M18-'Import Guide'!$B$3)/7)+1</x:f>
        <x:v>1</x:v>
      </x:c>
      <x:c r="Z18" s="12" t="str">
        <x:f>VLOOKUP(A18,'Dependencies'!$A$2:$G$224,7,FALSE)</x:f>
        <x:v>OK</x:v>
      </x:c>
      <x:c r="AA18" s="12" t="str">
        <x:f>IF(COUNTIFS('Milestones'!$A$2:$A$7,G18)&lt;&gt;1,"BAD GATE",IF(M18&lt;=VLOOKUP(G18,'Milestones'!$A$2:$C$7,3,FALSE),"OK","LATE"))</x:f>
        <x:v>OK</x:v>
      </x:c>
      <x:c r="AB18" s="12" t="n">
        <x:f>IF(OR(V18="Done",V18="Cut"),"",M18-TODAY())</x:f>
        <x:v>6</x:v>
      </x:c>
    </x:row>
    <x:row r="19" ht="90" customHeight="1">
      <x:c r="A19" s="7" t="str">
        <x:v>RV-04</x:v>
      </x:c>
      <x:c r="B19" s="7" t="str">
        <x:v>Unify detection boxes through compatibility adapters</x:v>
      </x:c>
      <x:c r="C19" s="9" t="str">
        <x:v>Use one canonical validated box internally while preserving TrafficDetection and ModelPrediction constructors.</x:v>
      </x:c>
      <x:c r="D19" s="9" t="str">
        <x:v>Old traffic API tests still pass; invalid/inverted boxes fail consistently; no double model inference.</x:v>
      </x:c>
      <x:c r="E19" s="7" t="str">
        <x:v>A1 Revamp</x:v>
      </x:c>
      <x:c r="F19" s="7" t="str">
        <x:v>C</x:v>
      </x:c>
      <x:c r="G19" s="7" t="str">
        <x:v>G0</x:v>
      </x:c>
      <x:c r="H19" s="7" t="str">
        <x:v>P0 must</x:v>
      </x:c>
      <x:c r="I19" s="7" t="str">
        <x:v>Ricky</x:v>
      </x:c>
      <x:c r="J19" s="7" t="str">
        <x:f>IF(VLOOKUP(I19,'Team'!$A$2:$B$7,2,FALSE)="","",VLOOKUP(I19,'Team'!$A$2:$B$7,2,FALSE))</x:f>
      </x:c>
      <x:c r="K19" s="7" t="str">
        <x:v>Saviour</x:v>
      </x:c>
      <x:c r="L19" s="10" t="n">
        <x:v>46309</x:v>
      </x:c>
      <x:c r="M19" s="10" t="n">
        <x:v>46309</x:v>
      </x:c>
      <x:c r="N19" s="11" t="n">
        <x:v>1.5</x:v>
      </x:c>
      <x:c r="O19" s="7" t="str">
        <x:v>BL-C-02,BL-D-02</x:v>
      </x:c>
      <x:c r="P19" s="7" t="str">
        <x:v>BL-D-03</x:v>
      </x:c>
      <x:c r="Q19" s="7" t="str">
        <x:v>N</x:v>
      </x:c>
      <x:c r="R19" s="7" t="str">
        <x:v>src/perception/types.py; src/traffic_perception/</x:v>
      </x:c>
      <x:c r="S19" s="7" t="str">
        <x:v>Type migration tests</x:v>
      </x:c>
      <x:c r="T19" s="7" t="str">
        <x:v>Extension and design decisions</x:v>
      </x:c>
      <x:c r="U19" s="7" t="str">
        <x:v>workstream:c;priority:p0;category:a1-revamp</x:v>
      </x:c>
      <x:c r="V19" s="7" t="str">
        <x:v>Todo</x:v>
      </x:c>
      <x:c r="W19" s="7" t="str"/>
      <x:c r="X19" s="9" t="str">
        <x:v>Internal Sydney date. Estimate includes implementation, author checks and handoff; reviewer time is separately budgeted.</x:v>
      </x:c>
      <x:c r="Y19" s="12" t="n">
        <x:f>INT((M19-'Import Guide'!$B$3)/7)+1</x:f>
        <x:v>1</x:v>
      </x:c>
      <x:c r="Z19" s="12" t="str">
        <x:f>VLOOKUP(A19,'Dependencies'!$A$2:$G$224,7,FALSE)</x:f>
        <x:v>OK</x:v>
      </x:c>
      <x:c r="AA19" s="12" t="str">
        <x:f>IF(COUNTIFS('Milestones'!$A$2:$A$7,G19)&lt;&gt;1,"BAD GATE",IF(M19&lt;=VLOOKUP(G19,'Milestones'!$A$2:$C$7,3,FALSE),"OK","LATE"))</x:f>
        <x:v>OK</x:v>
      </x:c>
      <x:c r="AB19" s="12" t="n">
        <x:f>IF(OR(V19="Done",V19="Cut"),"",M19-TODAY())</x:f>
        <x:v>6</x:v>
      </x:c>
    </x:row>
    <x:row r="20" ht="90" customHeight="1">
      <x:c r="A20" s="7" t="str">
        <x:v>RV-05</x:v>
      </x:c>
      <x:c r="B20" s="7" t="str">
        <x:v>Enforce the simulator boundary in CI</x:v>
      </x:c>
      <x:c r="C20" s="9" t="str">
        <x:v>Add Ruff TID251 banned-import rule with adapter allowlist, AST checks and import smoke without carla installed.</x:v>
      </x:c>
      <x:c r="D20" s="9" t="str">
        <x:v>Import check catches direct imports and core references to adapter modules; no magic string checks alone.</x:v>
      </x:c>
      <x:c r="E20" s="7" t="str">
        <x:v>A1 Revamp</x:v>
      </x:c>
      <x:c r="F20" s="7" t="str">
        <x:v>F</x:v>
      </x:c>
      <x:c r="G20" s="7" t="str">
        <x:v>G0</x:v>
      </x:c>
      <x:c r="H20" s="7" t="str">
        <x:v>P0 must</x:v>
      </x:c>
      <x:c r="I20" s="7" t="str">
        <x:v>Saviour</x:v>
      </x:c>
      <x:c r="J20" s="7" t="str">
        <x:f>IF(VLOOKUP(I20,'Team'!$A$2:$B$7,2,FALSE)="","",VLOOKUP(I20,'Team'!$A$2:$B$7,2,FALSE))</x:f>
      </x:c>
      <x:c r="K20" s="7" t="str">
        <x:v>Ricky</x:v>
      </x:c>
      <x:c r="L20" s="10" t="n">
        <x:v>46309</x:v>
      </x:c>
      <x:c r="M20" s="10" t="n">
        <x:v>46309</x:v>
      </x:c>
      <x:c r="N20" s="11" t="n">
        <x:v>1</x:v>
      </x:c>
      <x:c r="O20" s="7" t="str">
        <x:v>BL-F-02</x:v>
      </x:c>
      <x:c r="P20" s="7" t="str"/>
      <x:c r="Q20" s="7" t="str">
        <x:v>N</x:v>
      </x:c>
      <x:c r="R20" s="7" t="str">
        <x:v>pyproject.toml; tests/unit/test_boundary.py; .github/workflows/ci.yml</x:v>
      </x:c>
      <x:c r="S20" s="7" t="str">
        <x:v>Boundary failure fixture</x:v>
      </x:c>
      <x:c r="T20" s="7" t="str">
        <x:v>Extension and design decisions</x:v>
      </x:c>
      <x:c r="U20" s="7" t="str">
        <x:v>workstream:f;priority:p0;category:a1-revamp</x:v>
      </x:c>
      <x:c r="V20" s="7" t="str">
        <x:v>Todo</x:v>
      </x:c>
      <x:c r="W20" s="7" t="str"/>
      <x:c r="X20" s="9" t="str">
        <x:v>Internal Sydney date. Estimate includes implementation, author checks and handoff; reviewer time is separately budgeted.</x:v>
      </x:c>
      <x:c r="Y20" s="12" t="n">
        <x:f>INT((M20-'Import Guide'!$B$3)/7)+1</x:f>
        <x:v>1</x:v>
      </x:c>
      <x:c r="Z20" s="12" t="str">
        <x:f>VLOOKUP(A20,'Dependencies'!$A$2:$G$224,7,FALSE)</x:f>
        <x:v>OK</x:v>
      </x:c>
      <x:c r="AA20" s="12" t="str">
        <x:f>IF(COUNTIFS('Milestones'!$A$2:$A$7,G20)&lt;&gt;1,"BAD GATE",IF(M20&lt;=VLOOKUP(G20,'Milestones'!$A$2:$C$7,3,FALSE),"OK","LATE"))</x:f>
        <x:v>OK</x:v>
      </x:c>
      <x:c r="AB20" s="12" t="n">
        <x:f>IF(OR(V20="Done",V20="Cut"),"",M20-TODAY())</x:f>
        <x:v>6</x:v>
      </x:c>
    </x:row>
    <x:row r="21" ht="90" customHeight="1">
      <x:c r="A21" s="7" t="str">
        <x:v>G0-01</x:v>
      </x:c>
      <x:c r="B21" s="7" t="str">
        <x:v>Review G0 contracts and assign unresolved blockers</x:v>
      </x:c>
      <x:c r="C21" s="9" t="str">
        <x:v>Check runnable skeleton, all specifications, A1 capture and laptop proof; record scope reply as pending if unanswered.</x:v>
      </x:c>
      <x:c r="D21" s="9" t="str">
        <x:v>Each exit criterion has evidence; unresolved issue has owner/due date; no invented team agreement.</x:v>
      </x:c>
      <x:c r="E21" s="7" t="str">
        <x:v>Process</x:v>
      </x:c>
      <x:c r="F21" s="7" t="str">
        <x:v>F</x:v>
      </x:c>
      <x:c r="G21" s="7" t="str">
        <x:v>G0</x:v>
      </x:c>
      <x:c r="H21" s="7" t="str">
        <x:v>P0 must</x:v>
      </x:c>
      <x:c r="I21" s="7" t="str">
        <x:v>Saviour</x:v>
      </x:c>
      <x:c r="J21" s="7" t="str">
        <x:f>IF(VLOOKUP(I21,'Team'!$A$2:$B$7,2,FALSE)="","",VLOOKUP(I21,'Team'!$A$2:$B$7,2,FALSE))</x:f>
      </x:c>
      <x:c r="K21" s="7" t="str">
        <x:v>Ricky</x:v>
      </x:c>
      <x:c r="L21" s="10" t="n">
        <x:v>46309</x:v>
      </x:c>
      <x:c r="M21" s="10" t="n">
        <x:v>46309</x:v>
      </x:c>
      <x:c r="N21" s="11" t="n">
        <x:v>1</x:v>
      </x:c>
      <x:c r="O21" s="7" t="str">
        <x:v>PROC-01,PROC-03,RV-03,BL-F-02,BL-A-02,BL-B-01,TEST-01</x:v>
      </x:c>
      <x:c r="P21" s="7" t="str"/>
      <x:c r="Q21" s="7" t="str">
        <x:v>N</x:v>
      </x:c>
      <x:c r="R21" s="7" t="str">
        <x:v>docs/gates/G0.md</x:v>
      </x:c>
      <x:c r="S21" s="7" t="str">
        <x:v>G0 record</x:v>
      </x:c>
      <x:c r="T21" s="7" t="str">
        <x:v>Scope and rationale</x:v>
      </x:c>
      <x:c r="U21" s="7" t="str">
        <x:v>workstream:f;priority:p0;category:process</x:v>
      </x:c>
      <x:c r="V21" s="7" t="str">
        <x:v>Todo</x:v>
      </x:c>
      <x:c r="W21" s="7" t="str"/>
      <x:c r="X21" s="9" t="str">
        <x:v>Internal Sydney date. Estimate includes implementation, author checks and handoff; reviewer time is separately budgeted. Same-day handoff: complete/review TEST-01 before starting this task.</x:v>
      </x:c>
      <x:c r="Y21" s="12" t="n">
        <x:f>INT((M21-'Import Guide'!$B$3)/7)+1</x:f>
        <x:v>1</x:v>
      </x:c>
      <x:c r="Z21" s="12" t="str">
        <x:f>VLOOKUP(A21,'Dependencies'!$A$2:$G$224,7,FALSE)</x:f>
        <x:v>OK</x:v>
      </x:c>
      <x:c r="AA21" s="12" t="str">
        <x:f>IF(COUNTIFS('Milestones'!$A$2:$A$7,G21)&lt;&gt;1,"BAD GATE",IF(M21&lt;=VLOOKUP(G21,'Milestones'!$A$2:$C$7,3,FALSE),"OK","LATE"))</x:f>
        <x:v>OK</x:v>
      </x:c>
      <x:c r="AB21" s="12" t="n">
        <x:f>IF(OR(V21="Done",V21="Cut"),"",M21-TODAY())</x:f>
        <x:v>6</x:v>
      </x:c>
    </x:row>
    <x:row r="22" ht="90" customHeight="1">
      <x:c r="A22" s="7" t="str">
        <x:v>BL-B-02</x:v>
      </x:c>
      <x:c r="B22" s="7" t="str">
        <x:v>Implement aligned RGB-D capture and bounded frame queues</x:v>
      </x:c>
      <x:c r="C22" s="9" t="str">
        <x:v>Same rig/FOV/resolution; join on exact frame ID and matching ego snapshot; discard mismatches; allow bounded GPU delivery delay.</x:v>
      </x:c>
      <x:c r="D22" s="9" t="str">
        <x:v>Decode known BGRA vectors; late/out-of-order/missing frames are logged and never mixed; timeout test stops safely.</x:v>
      </x:c>
      <x:c r="E22" s="7" t="str">
        <x:v>Baseline</x:v>
      </x:c>
      <x:c r="F22" s="7" t="str">
        <x:v>B</x:v>
      </x:c>
      <x:c r="G22" s="7" t="str">
        <x:v>G1</x:v>
      </x:c>
      <x:c r="H22" s="7" t="str">
        <x:v>P0 must</x:v>
      </x:c>
      <x:c r="I22" s="7" t="str">
        <x:v>Mohammad</x:v>
      </x:c>
      <x:c r="J22" s="7" t="str">
        <x:f>IF(VLOOKUP(I22,'Team'!$A$2:$B$7,2,FALSE)="","",VLOOKUP(I22,'Team'!$A$2:$B$7,2,FALSE))</x:f>
        <x:v>kkaaman</x:v>
      </x:c>
      <x:c r="K22" s="7" t="str">
        <x:v>Alan</x:v>
      </x:c>
      <x:c r="L22" s="10" t="n">
        <x:v>46309</x:v>
      </x:c>
      <x:c r="M22" s="10" t="n">
        <x:v>46309</x:v>
      </x:c>
      <x:c r="N22" s="11" t="n">
        <x:v>3</x:v>
      </x:c>
      <x:c r="O22" s="7" t="str">
        <x:v>BL-B-01,BL-D-02</x:v>
      </x:c>
      <x:c r="P22" s="7" t="str">
        <x:v>BL-B-03, BL-B-06, E2-01</x:v>
      </x:c>
      <x:c r="Q22" s="7" t="str">
        <x:v>Y</x:v>
      </x:c>
      <x:c r="R22" s="7" t="str">
        <x:v>src/carla_adapter/sensors.py; conversions.py</x:v>
      </x:c>
      <x:c r="S22" s="7" t="str">
        <x:v>Frame synchronization tests and capture</x:v>
      </x:c>
      <x:c r="T22" s="7" t="str">
        <x:v>Extension and design decisions</x:v>
      </x:c>
      <x:c r="U22" s="7" t="str">
        <x:v>workstream:b;priority:p0;carla-required;category:baseline</x:v>
      </x:c>
      <x:c r="V22" s="7" t="str">
        <x:v>Todo</x:v>
      </x:c>
      <x:c r="W22" s="7" t="str"/>
      <x:c r="X22" s="9" t="str">
        <x:v>Internal Sydney date. Estimate includes implementation, author checks and handoff; reviewer time is separately budgeted.</x:v>
      </x:c>
      <x:c r="Y22" s="12" t="n">
        <x:f>INT((M22-'Import Guide'!$B$3)/7)+1</x:f>
        <x:v>1</x:v>
      </x:c>
      <x:c r="Z22" s="12" t="str">
        <x:f>VLOOKUP(A22,'Dependencies'!$A$2:$G$224,7,FALSE)</x:f>
        <x:v>OK</x:v>
      </x:c>
      <x:c r="AA22" s="12" t="str">
        <x:f>IF(COUNTIFS('Milestones'!$A$2:$A$7,G22)&lt;&gt;1,"BAD GATE",IF(M22&lt;=VLOOKUP(G22,'Milestones'!$A$2:$C$7,3,FALSE),"OK","LATE"))</x:f>
        <x:v>OK</x:v>
      </x:c>
      <x:c r="AB22" s="12" t="n">
        <x:f>IF(OR(V22="Done",V22="Cut"),"",M22-TODAY())</x:f>
        <x:v>6</x:v>
      </x:c>
    </x:row>
    <x:row r="23" ht="90" customHeight="1">
      <x:c r="A23" s="7" t="str">
        <x:v>BL-A-03</x:v>
      </x:c>
      <x:c r="B23" s="7" t="str">
        <x:v>Classify junction exits and stitch continuous lane paths</x:v>
      </x:c>
      <x:c r="C23" s="9" t="str">
        <x:v>Follow branches through junction exit before heading classification; remove arbitrary next[0] and direct cross-curb chords.</x:v>
      </x:c>
      <x:c r="D23" s="9" t="str">
        <x:v>T/4-way graph fixtures produce requested maneuvers; illegal/ambiguous branch produces configuration error.</x:v>
      </x:c>
      <x:c r="E23" s="7" t="str">
        <x:v>Baseline</x:v>
      </x:c>
      <x:c r="F23" s="7" t="str">
        <x:v>A</x:v>
      </x:c>
      <x:c r="G23" s="7" t="str">
        <x:v>G1</x:v>
      </x:c>
      <x:c r="H23" s="7" t="str">
        <x:v>P0 must</x:v>
      </x:c>
      <x:c r="I23" s="7" t="str">
        <x:v>Zhaolin</x:v>
      </x:c>
      <x:c r="J23" s="7" t="str">
        <x:f>IF(VLOOKUP(I23,'Team'!$A$2:$B$7,2,FALSE)="","",VLOOKUP(I23,'Team'!$A$2:$B$7,2,FALSE))</x:f>
      </x:c>
      <x:c r="K23" s="7" t="str">
        <x:v>Abdullah</x:v>
      </x:c>
      <x:c r="L23" s="10" t="n">
        <x:v>46309</x:v>
      </x:c>
      <x:c r="M23" s="10" t="n">
        <x:v>46309</x:v>
      </x:c>
      <x:c r="N23" s="11" t="n">
        <x:v>3.5</x:v>
      </x:c>
      <x:c r="O23" s="7" t="str">
        <x:v>BL-A-02</x:v>
      </x:c>
      <x:c r="P23" s="7" t="str">
        <x:v>BL-A-04, BL-F-04, E3-02</x:v>
      </x:c>
      <x:c r="Q23" s="7" t="str">
        <x:v>N</x:v>
      </x:c>
      <x:c r="R23" s="7" t="str">
        <x:v>src/planning/junction_planner.py; route_manager.py</x:v>
      </x:c>
      <x:c r="S23" s="7" t="str">
        <x:v>Junction unit tests</x:v>
      </x:c>
      <x:c r="T23" s="7" t="str">
        <x:v>Extension and design decisions</x:v>
      </x:c>
      <x:c r="U23" s="7" t="str">
        <x:v>workstream:a;priority:p0;category:baseline</x:v>
      </x:c>
      <x:c r="V23" s="7" t="str">
        <x:v>Todo</x:v>
      </x:c>
      <x:c r="W23" s="7" t="str"/>
      <x:c r="X23" s="9" t="str">
        <x:v>Internal Sydney date. Estimate includes implementation, author checks and handoff; reviewer time is separately budgeted.</x:v>
      </x:c>
      <x:c r="Y23" s="12" t="n">
        <x:f>INT((M23-'Import Guide'!$B$3)/7)+1</x:f>
        <x:v>1</x:v>
      </x:c>
      <x:c r="Z23" s="12" t="str">
        <x:f>VLOOKUP(A23,'Dependencies'!$A$2:$G$224,7,FALSE)</x:f>
        <x:v>OK</x:v>
      </x:c>
      <x:c r="AA23" s="12" t="str">
        <x:f>IF(COUNTIFS('Milestones'!$A$2:$A$7,G23)&lt;&gt;1,"BAD GATE",IF(M23&lt;=VLOOKUP(G23,'Milestones'!$A$2:$C$7,3,FALSE),"OK","LATE"))</x:f>
        <x:v>OK</x:v>
      </x:c>
      <x:c r="AB23" s="12" t="n">
        <x:f>IF(OR(V23="Done",V23="Cut"),"",M23-TODAY())</x:f>
        <x:v>6</x:v>
      </x:c>
    </x:row>
    <x:row r="24" ht="90" customHeight="1">
      <x:c r="A24" s="7" t="str">
        <x:v>BL-D-03</x:v>
      </x:c>
      <x:c r="B24" s="7" t="str">
        <x:v>Implement inner-box depth and robust validity checks</x:v>
      </x:c>
      <x:c r="C24" s="9" t="str">
        <x:v>Median valid pixels in inner ROI; reject empty/saturated/multimodal depth; retain flagged ground/pinhole fallback.</x:v>
      </x:c>
      <x:c r="D24" s="9" t="str">
        <x:v>Synthetic foreground/background tests and off-axis unprojection fixtures pass; unknown depth is never clear space.</x:v>
      </x:c>
      <x:c r="E24" s="7" t="str">
        <x:v>Baseline</x:v>
      </x:c>
      <x:c r="F24" s="7" t="str">
        <x:v>D</x:v>
      </x:c>
      <x:c r="G24" s="7" t="str">
        <x:v>G1</x:v>
      </x:c>
      <x:c r="H24" s="7" t="str">
        <x:v>P0 must</x:v>
      </x:c>
      <x:c r="I24" s="7" t="str">
        <x:v>Alan</x:v>
      </x:c>
      <x:c r="J24" s="7" t="str">
        <x:f>IF(VLOOKUP(I24,'Team'!$A$2:$B$7,2,FALSE)="","",VLOOKUP(I24,'Team'!$A$2:$B$7,2,FALSE))</x:f>
      </x:c>
      <x:c r="K24" s="7" t="str">
        <x:v>Mohammad</x:v>
      </x:c>
      <x:c r="L24" s="10" t="n">
        <x:v>46309</x:v>
      </x:c>
      <x:c r="M24" s="10" t="n">
        <x:v>46309</x:v>
      </x:c>
      <x:c r="N24" s="11" t="n">
        <x:v>2</x:v>
      </x:c>
      <x:c r="O24" s="7" t="str">
        <x:v>BL-D-02,RV-04</x:v>
      </x:c>
      <x:c r="P24" s="7" t="str">
        <x:v>BL-D-04, BL-B-05</x:v>
      </x:c>
      <x:c r="Q24" s="7" t="str">
        <x:v>N</x:v>
      </x:c>
      <x:c r="R24" s="7" t="str">
        <x:v>src/obstacle_perception/box_depth.py; src/traffic_perception/distance.py</x:v>
      </x:c>
      <x:c r="S24" s="7" t="str">
        <x:v>Depth ROI tests</x:v>
      </x:c>
      <x:c r="T24" s="7" t="str">
        <x:v>Extension and design decisions</x:v>
      </x:c>
      <x:c r="U24" s="7" t="str">
        <x:v>workstream:d;priority:p0;category:baseline</x:v>
      </x:c>
      <x:c r="V24" s="7" t="str">
        <x:v>Todo</x:v>
      </x:c>
      <x:c r="W24" s="7" t="str"/>
      <x:c r="X24" s="9" t="str">
        <x:v>Internal Sydney date. Estimate includes implementation, author checks and handoff; reviewer time is separately budgeted. Same-day handoff: complete/review RV-04 before starting this task.</x:v>
      </x:c>
      <x:c r="Y24" s="12" t="n">
        <x:f>INT((M24-'Import Guide'!$B$3)/7)+1</x:f>
        <x:v>1</x:v>
      </x:c>
      <x:c r="Z24" s="12" t="str">
        <x:f>VLOOKUP(A24,'Dependencies'!$A$2:$G$224,7,FALSE)</x:f>
        <x:v>OK</x:v>
      </x:c>
      <x:c r="AA24" s="12" t="str">
        <x:f>IF(COUNTIFS('Milestones'!$A$2:$A$7,G24)&lt;&gt;1,"BAD GATE",IF(M24&lt;=VLOOKUP(G24,'Milestones'!$A$2:$C$7,3,FALSE),"OK","LATE"))</x:f>
        <x:v>OK</x:v>
      </x:c>
      <x:c r="AB24" s="12" t="n">
        <x:f>IF(OR(V24="Done",V24="Cut"),"",M24-TODAY())</x:f>
        <x:v>6</x:v>
      </x:c>
    </x:row>
    <x:row r="25" ht="90" customHeight="1">
      <x:c r="A25" s="7" t="str">
        <x:v>BL-C-03</x:v>
      </x:c>
      <x:c r="B25" s="7" t="str">
        <x:v>Build offline detector fixtures and model manifest</x:v>
      </x:c>
      <x:c r="C25" s="9" t="str">
        <x:v>Provide deterministic fake detections, recorded sequence reader and checksum/version manifest.</x:v>
      </x:c>
      <x:c r="D25" s="9" t="str">
        <x:v>CARLA-free tests run without network/GPU; warm and cold inference timings separated.</x:v>
      </x:c>
      <x:c r="E25" s="7" t="str">
        <x:v>Baseline</x:v>
      </x:c>
      <x:c r="F25" s="7" t="str">
        <x:v>C</x:v>
      </x:c>
      <x:c r="G25" s="7" t="str">
        <x:v>G1</x:v>
      </x:c>
      <x:c r="H25" s="7" t="str">
        <x:v>P0 must</x:v>
      </x:c>
      <x:c r="I25" s="7" t="str">
        <x:v>Ricky</x:v>
      </x:c>
      <x:c r="J25" s="7" t="str">
        <x:f>IF(VLOOKUP(I25,'Team'!$A$2:$B$7,2,FALSE)="","",VLOOKUP(I25,'Team'!$A$2:$B$7,2,FALSE))</x:f>
      </x:c>
      <x:c r="K25" s="7" t="str">
        <x:v>Saviour</x:v>
      </x:c>
      <x:c r="L25" s="10" t="n">
        <x:v>46309</x:v>
      </x:c>
      <x:c r="M25" s="10" t="n">
        <x:v>46309</x:v>
      </x:c>
      <x:c r="N25" s="11" t="n">
        <x:v>2.5</x:v>
      </x:c>
      <x:c r="O25" s="7" t="str">
        <x:v>BL-C-02,BL-C-01</x:v>
      </x:c>
      <x:c r="P25" s="7" t="str">
        <x:v>BL-C-04</x:v>
      </x:c>
      <x:c r="Q25" s="7" t="str">
        <x:v>N</x:v>
      </x:c>
      <x:c r="R25" s="7" t="str">
        <x:v>tests/fixtures/; configs/models.yaml</x:v>
      </x:c>
      <x:c r="S25" s="7" t="str">
        <x:v>Detector fixture dataset</x:v>
      </x:c>
      <x:c r="T25" s="7" t="str">
        <x:v>Extension and design decisions</x:v>
      </x:c>
      <x:c r="U25" s="7" t="str">
        <x:v>workstream:c;priority:p0;category:baseline</x:v>
      </x:c>
      <x:c r="V25" s="7" t="str">
        <x:v>Todo</x:v>
      </x:c>
      <x:c r="W25" s="7" t="str"/>
      <x:c r="X25" s="9" t="str">
        <x:v>Internal Sydney date. Estimate includes implementation, author checks and handoff; reviewer time is separately budgeted.</x:v>
      </x:c>
      <x:c r="Y25" s="12" t="n">
        <x:f>INT((M25-'Import Guide'!$B$3)/7)+1</x:f>
        <x:v>1</x:v>
      </x:c>
      <x:c r="Z25" s="12" t="str">
        <x:f>VLOOKUP(A25,'Dependencies'!$A$2:$G$224,7,FALSE)</x:f>
        <x:v>OK</x:v>
      </x:c>
      <x:c r="AA25" s="12" t="str">
        <x:f>IF(COUNTIFS('Milestones'!$A$2:$A$7,G25)&lt;&gt;1,"BAD GATE",IF(M25&lt;=VLOOKUP(G25,'Milestones'!$A$2:$C$7,3,FALSE),"OK","LATE"))</x:f>
        <x:v>OK</x:v>
      </x:c>
      <x:c r="AB25" s="12" t="n">
        <x:f>IF(OR(V25="Done",V25="Cut"),"",M25-TODAY())</x:f>
        <x:v>6</x:v>
      </x:c>
    </x:row>
    <x:row r="26" ht="90" customHeight="1">
      <x:c r="A26" s="7" t="str">
        <x:v>BL-F-03</x:v>
      </x:c>
      <x:c r="B26" s="7" t="str">
        <x:v>Implement KinematicWorld with synthetic obstacle observations</x:v>
      </x:c>
      <x:c r="C26" s="9" t="str">
        <x:v>Bicycle dynamics behind SimulatorInterface; inject synthetic detections and distances instead of truth in control.</x:v>
      </x:c>
      <x:c r="D26" s="9" t="str">
        <x:v>Straight/curve runs deterministic at fixed dt; stop and restart work; limitations of tire/visibility model documented.</x:v>
      </x:c>
      <x:c r="E26" s="7" t="str">
        <x:v>Baseline</x:v>
      </x:c>
      <x:c r="F26" s="7" t="str">
        <x:v>F</x:v>
      </x:c>
      <x:c r="G26" s="7" t="str">
        <x:v>G1</x:v>
      </x:c>
      <x:c r="H26" s="7" t="str">
        <x:v>P0 must</x:v>
      </x:c>
      <x:c r="I26" s="7" t="str">
        <x:v>Saviour</x:v>
      </x:c>
      <x:c r="J26" s="7" t="str">
        <x:f>IF(VLOOKUP(I26,'Team'!$A$2:$B$7,2,FALSE)="","",VLOOKUP(I26,'Team'!$A$2:$B$7,2,FALSE))</x:f>
      </x:c>
      <x:c r="K26" s="7" t="str">
        <x:v>Ricky</x:v>
      </x:c>
      <x:c r="L26" s="10" t="n">
        <x:v>46310</x:v>
      </x:c>
      <x:c r="M26" s="10" t="n">
        <x:v>46310</x:v>
      </x:c>
      <x:c r="N26" s="11" t="n">
        <x:v>3</x:v>
      </x:c>
      <x:c r="O26" s="7" t="str">
        <x:v>BL-F-02,BL-A-01</x:v>
      </x:c>
      <x:c r="P26" s="7" t="str">
        <x:v>BL-F-04</x:v>
      </x:c>
      <x:c r="Q26" s="7" t="str">
        <x:v>N</x:v>
      </x:c>
      <x:c r="R26" s="7" t="str">
        <x:v>src/sim_harness/</x:v>
      </x:c>
      <x:c r="S26" s="7" t="str">
        <x:v>Harness unit results</x:v>
      </x:c>
      <x:c r="T26" s="7" t="str">
        <x:v>Extension and design decisions</x:v>
      </x:c>
      <x:c r="U26" s="7" t="str">
        <x:v>workstream:f;priority:p0;category:baseline</x:v>
      </x:c>
      <x:c r="V26" s="7" t="str">
        <x:v>Todo</x:v>
      </x:c>
      <x:c r="W26" s="7" t="str"/>
      <x:c r="X26" s="9" t="str">
        <x:v>Internal Sydney date. Estimate includes implementation, author checks and handoff; reviewer time is separately budgeted.</x:v>
      </x:c>
      <x:c r="Y26" s="12" t="n">
        <x:f>INT((M26-'Import Guide'!$B$3)/7)+1</x:f>
        <x:v>1</x:v>
      </x:c>
      <x:c r="Z26" s="12" t="str">
        <x:f>VLOOKUP(A26,'Dependencies'!$A$2:$G$224,7,FALSE)</x:f>
        <x:v>OK</x:v>
      </x:c>
      <x:c r="AA26" s="12" t="str">
        <x:f>IF(COUNTIFS('Milestones'!$A$2:$A$7,G26)&lt;&gt;1,"BAD GATE",IF(M26&lt;=VLOOKUP(G26,'Milestones'!$A$2:$C$7,3,FALSE),"OK","LATE"))</x:f>
        <x:v>OK</x:v>
      </x:c>
      <x:c r="AB26" s="12" t="n">
        <x:f>IF(OR(V26="Done",V26="Cut"),"",M26-TODAY())</x:f>
        <x:v>7</x:v>
      </x:c>
    </x:row>
    <x:row r="27" ht="90" customHeight="1">
      <x:c r="A27" s="7" t="str">
        <x:v>BL-E-02</x:v>
      </x:c>
      <x:c r="B27" s="7" t="str">
        <x:v>Measure steering response at 2, 5 and 8 m/s</x:v>
      </x:c>
      <x:c r="C27" s="9" t="str">
        <x:v>Compare requested angle, physical limit/steering curve and yaw-rate inferred angle; store calibration rather than assuming 70 degrees.</x:v>
      </x:c>
      <x:c r="D27" s="9" t="str">
        <x:v>Left/right sweeps logged at each speed; adapter scale validated; clipping and speed dependence recorded.</x:v>
      </x:c>
      <x:c r="E27" s="7" t="str">
        <x:v>Baseline</x:v>
      </x:c>
      <x:c r="F27" s="7" t="str">
        <x:v>E</x:v>
      </x:c>
      <x:c r="G27" s="7" t="str">
        <x:v>G1</x:v>
      </x:c>
      <x:c r="H27" s="7" t="str">
        <x:v>P0 must</x:v>
      </x:c>
      <x:c r="I27" s="7" t="str">
        <x:v>Abdullah</x:v>
      </x:c>
      <x:c r="J27" s="7" t="str">
        <x:f>IF(VLOOKUP(I27,'Team'!$A$2:$B$7,2,FALSE)="","",VLOOKUP(I27,'Team'!$A$2:$B$7,2,FALSE))</x:f>
      </x:c>
      <x:c r="K27" s="7" t="str">
        <x:v>Zhaolin</x:v>
      </x:c>
      <x:c r="L27" s="10" t="n">
        <x:v>46310</x:v>
      </x:c>
      <x:c r="M27" s="10" t="n">
        <x:v>46310</x:v>
      </x:c>
      <x:c r="N27" s="11" t="n">
        <x:v>3</x:v>
      </x:c>
      <x:c r="O27" s="7" t="str">
        <x:v>BL-E-01,BL-B-01</x:v>
      </x:c>
      <x:c r="P27" s="7" t="str">
        <x:v>BL-E-03, BL-A-05</x:v>
      </x:c>
      <x:c r="Q27" s="7" t="str">
        <x:v>Y</x:v>
      </x:c>
      <x:c r="R27" s="7" t="str">
        <x:v>scripts/calibrate_vehicle.py; configs/vehicle_*.yaml</x:v>
      </x:c>
      <x:c r="S27" s="7" t="str">
        <x:v>Steering calibration CSV and plot</x:v>
      </x:c>
      <x:c r="T27" s="7" t="str">
        <x:v>Extension and design decisions</x:v>
      </x:c>
      <x:c r="U27" s="7" t="str">
        <x:v>workstream:e;priority:p0;carla-required;category:baseline</x:v>
      </x:c>
      <x:c r="V27" s="7" t="str">
        <x:v>Todo</x:v>
      </x:c>
      <x:c r="W27" s="7" t="str"/>
      <x:c r="X27" s="9" t="str">
        <x:v>Internal Sydney date. Estimate includes implementation, author checks and handoff; reviewer time is separately budgeted.</x:v>
      </x:c>
      <x:c r="Y27" s="12" t="n">
        <x:f>INT((M27-'Import Guide'!$B$3)/7)+1</x:f>
        <x:v>1</x:v>
      </x:c>
      <x:c r="Z27" s="12" t="str">
        <x:f>VLOOKUP(A27,'Dependencies'!$A$2:$G$224,7,FALSE)</x:f>
        <x:v>OK</x:v>
      </x:c>
      <x:c r="AA27" s="12" t="str">
        <x:f>IF(COUNTIFS('Milestones'!$A$2:$A$7,G27)&lt;&gt;1,"BAD GATE",IF(M27&lt;=VLOOKUP(G27,'Milestones'!$A$2:$C$7,3,FALSE),"OK","LATE"))</x:f>
        <x:v>OK</x:v>
      </x:c>
      <x:c r="AB27" s="12" t="n">
        <x:f>IF(OR(V27="Done",V27="Cut"),"",M27-TODAY())</x:f>
        <x:v>7</x:v>
      </x:c>
    </x:row>
    <x:row r="28" ht="90" customHeight="1">
      <x:c r="A28" s="7" t="str">
        <x:v>BL-A-04</x:v>
      </x:c>
      <x:c r="B28" s="7" t="str">
        <x:v>Validate complete mission path in Town10HD</x:v>
      </x:c>
      <x:c r="C28" s="9" t="str">
        <x:v>Select open fixed route with straight and turn, held-green lights; set_path only at mission start.</x:v>
      </x:c>
      <x:c r="D28" s="9" t="str">
        <x:v>Polyline remains in legal lane through junctions; route metadata and spawn pose saved with map version.</x:v>
      </x:c>
      <x:c r="E28" s="7" t="str">
        <x:v>Baseline</x:v>
      </x:c>
      <x:c r="F28" s="7" t="str">
        <x:v>A</x:v>
      </x:c>
      <x:c r="G28" s="7" t="str">
        <x:v>G1</x:v>
      </x:c>
      <x:c r="H28" s="7" t="str">
        <x:v>P0 must</x:v>
      </x:c>
      <x:c r="I28" s="7" t="str">
        <x:v>Zhaolin</x:v>
      </x:c>
      <x:c r="J28" s="7" t="str">
        <x:f>IF(VLOOKUP(I28,'Team'!$A$2:$B$7,2,FALSE)="","",VLOOKUP(I28,'Team'!$A$2:$B$7,2,FALSE))</x:f>
      </x:c>
      <x:c r="K28" s="7" t="str">
        <x:v>Abdullah</x:v>
      </x:c>
      <x:c r="L28" s="10" t="n">
        <x:v>46310</x:v>
      </x:c>
      <x:c r="M28" s="10" t="n">
        <x:v>46310</x:v>
      </x:c>
      <x:c r="N28" s="11" t="n">
        <x:v>3</x:v>
      </x:c>
      <x:c r="O28" s="7" t="str">
        <x:v>BL-A-03,BL-E-01,BL-B-01</x:v>
      </x:c>
      <x:c r="P28" s="7" t="str">
        <x:v>BL-A-05, RV-06, BL-B-06</x:v>
      </x:c>
      <x:c r="Q28" s="7" t="str">
        <x:v>Y</x:v>
      </x:c>
      <x:c r="R28" s="7" t="str">
        <x:v>configs/scenarios/S0.yaml; src/planning/route_manager.py</x:v>
      </x:c>
      <x:c r="S28" s="7" t="str">
        <x:v>Route overlay and path JSON</x:v>
      </x:c>
      <x:c r="T28" s="7" t="str">
        <x:v>Extension and design decisions</x:v>
      </x:c>
      <x:c r="U28" s="7" t="str">
        <x:v>workstream:a;priority:p0;carla-required;category:baseline</x:v>
      </x:c>
      <x:c r="V28" s="7" t="str">
        <x:v>Todo</x:v>
      </x:c>
      <x:c r="W28" s="7" t="str"/>
      <x:c r="X28" s="9" t="str">
        <x:v>Internal Sydney date. Estimate includes implementation, author checks and handoff; reviewer time is separately budgeted.</x:v>
      </x:c>
      <x:c r="Y28" s="12" t="n">
        <x:f>INT((M28-'Import Guide'!$B$3)/7)+1</x:f>
        <x:v>1</x:v>
      </x:c>
      <x:c r="Z28" s="12" t="str">
        <x:f>VLOOKUP(A28,'Dependencies'!$A$2:$G$224,7,FALSE)</x:f>
        <x:v>OK</x:v>
      </x:c>
      <x:c r="AA28" s="12" t="str">
        <x:f>IF(COUNTIFS('Milestones'!$A$2:$A$7,G28)&lt;&gt;1,"BAD GATE",IF(M28&lt;=VLOOKUP(G28,'Milestones'!$A$2:$C$7,3,FALSE),"OK","LATE"))</x:f>
        <x:v>OK</x:v>
      </x:c>
      <x:c r="AB28" s="12" t="n">
        <x:f>IF(OR(V28="Done",V28="Cut"),"",M28-TODAY())</x:f>
        <x:v>7</x:v>
      </x:c>
    </x:row>
    <x:row r="29" ht="90" customHeight="1">
      <x:c r="A29" s="7" t="str">
        <x:v>BL-B-03</x:v>
      </x:c>
      <x:c r="B29" s="7" t="str">
        <x:v>Capture RGB-D and evaluation ground truth by frame</x:v>
      </x:c>
      <x:c r="C29" s="9" t="str">
        <x:v>Store bbox/pose references in evaluation-only channel; vary distances and lateral positions; record camera poses.</x:v>
      </x:c>
      <x:c r="D29" s="9" t="str">
        <x:v>Sample contains vehicle/person at 5-30 m and roadside negatives; train/tune/test split by run, never adjacent frames.</x:v>
      </x:c>
      <x:c r="E29" s="7" t="str">
        <x:v>Baseline</x:v>
      </x:c>
      <x:c r="F29" s="7" t="str">
        <x:v>B</x:v>
      </x:c>
      <x:c r="G29" s="7" t="str">
        <x:v>G1</x:v>
      </x:c>
      <x:c r="H29" s="7" t="str">
        <x:v>P0 must</x:v>
      </x:c>
      <x:c r="I29" s="7" t="str">
        <x:v>Mohammad</x:v>
      </x:c>
      <x:c r="J29" s="7" t="str">
        <x:f>IF(VLOOKUP(I29,'Team'!$A$2:$B$7,2,FALSE)="","",VLOOKUP(I29,'Team'!$A$2:$B$7,2,FALSE))</x:f>
        <x:v>kkaaman</x:v>
      </x:c>
      <x:c r="K29" s="7" t="str">
        <x:v>Alan</x:v>
      </x:c>
      <x:c r="L29" s="10" t="n">
        <x:v>46310</x:v>
      </x:c>
      <x:c r="M29" s="10" t="n">
        <x:v>46310</x:v>
      </x:c>
      <x:c r="N29" s="11" t="n">
        <x:v>3</x:v>
      </x:c>
      <x:c r="O29" s="7" t="str">
        <x:v>BL-B-02</x:v>
      </x:c>
      <x:c r="P29" s="7" t="str">
        <x:v>BL-B-04, BL-C-05, BL-B-05, E2-02</x:v>
      </x:c>
      <x:c r="Q29" s="7" t="str">
        <x:v>Y</x:v>
      </x:c>
      <x:c r="R29" s="7" t="str">
        <x:v>scripts/capture_frames.py; src/carla_adapter/ground_truth.py</x:v>
      </x:c>
      <x:c r="S29" s="7" t="str">
        <x:v>Versioned calibration dataset</x:v>
      </x:c>
      <x:c r="T29" s="7" t="str">
        <x:v>Extension and design decisions</x:v>
      </x:c>
      <x:c r="U29" s="7" t="str">
        <x:v>workstream:b;priority:p0;carla-required;category:baseline</x:v>
      </x:c>
      <x:c r="V29" s="7" t="str">
        <x:v>Todo</x:v>
      </x:c>
      <x:c r="W29" s="7" t="str"/>
      <x:c r="X29" s="9" t="str">
        <x:v>Internal Sydney date. Estimate includes implementation, author checks and handoff; reviewer time is separately budgeted.</x:v>
      </x:c>
      <x:c r="Y29" s="12" t="n">
        <x:f>INT((M29-'Import Guide'!$B$3)/7)+1</x:f>
        <x:v>1</x:v>
      </x:c>
      <x:c r="Z29" s="12" t="str">
        <x:f>VLOOKUP(A29,'Dependencies'!$A$2:$G$224,7,FALSE)</x:f>
        <x:v>OK</x:v>
      </x:c>
      <x:c r="AA29" s="12" t="str">
        <x:f>IF(COUNTIFS('Milestones'!$A$2:$A$7,G29)&lt;&gt;1,"BAD GATE",IF(M29&lt;=VLOOKUP(G29,'Milestones'!$A$2:$C$7,3,FALSE),"OK","LATE"))</x:f>
        <x:v>OK</x:v>
      </x:c>
      <x:c r="AB29" s="12" t="n">
        <x:f>IF(OR(V29="Done",V29="Cut"),"",M29-TODAY())</x:f>
        <x:v>7</x:v>
      </x:c>
    </x:row>
    <x:row r="30" ht="90" customHeight="1">
      <x:c r="A30" s="7" t="str">
        <x:v>BL-D-04</x:v>
      </x:c>
      <x:c r="B30" s="7" t="str">
        <x:v>Implement route-frame obstacle footprints and corridor</x:v>
      </x:c>
      <x:c r="C30" s="9" t="str">
        <x:v>Derive signed lateral position from tangent; project near/far footprint and compare swept route corridor.</x:v>
      </x:c>
      <x:c r="D30" s="9" t="str">
        <x:v>Bend, ahead/behind, beside-road and wide-object cases pass; rear-axle/front-bumper offsets applied once.</x:v>
      </x:c>
      <x:c r="E30" s="7" t="str">
        <x:v>Baseline</x:v>
      </x:c>
      <x:c r="F30" s="7" t="str">
        <x:v>D</x:v>
      </x:c>
      <x:c r="G30" s="7" t="str">
        <x:v>G1</x:v>
      </x:c>
      <x:c r="H30" s="7" t="str">
        <x:v>P0 must</x:v>
      </x:c>
      <x:c r="I30" s="7" t="str">
        <x:v>Alan</x:v>
      </x:c>
      <x:c r="J30" s="7" t="str">
        <x:f>IF(VLOOKUP(I30,'Team'!$A$2:$B$7,2,FALSE)="","",VLOOKUP(I30,'Team'!$A$2:$B$7,2,FALSE))</x:f>
      </x:c>
      <x:c r="K30" s="7" t="str">
        <x:v>Mohammad</x:v>
      </x:c>
      <x:c r="L30" s="10" t="n">
        <x:v>46310</x:v>
      </x:c>
      <x:c r="M30" s="10" t="n">
        <x:v>46310</x:v>
      </x:c>
      <x:c r="N30" s="11" t="n">
        <x:v>2.5</x:v>
      </x:c>
      <x:c r="O30" s="7" t="str">
        <x:v>BL-D-03</x:v>
      </x:c>
      <x:c r="P30" s="7" t="str">
        <x:v>BL-D-05, BL-C-06, E2-03</x:v>
      </x:c>
      <x:c r="Q30" s="7" t="str">
        <x:v>N</x:v>
      </x:c>
      <x:c r="R30" s="7" t="str">
        <x:v>src/planning/corridor.py; src/obstacle_perception/association.py</x:v>
      </x:c>
      <x:c r="S30" s="7" t="str">
        <x:v>Corridor unit tests</x:v>
      </x:c>
      <x:c r="T30" s="7" t="str">
        <x:v>Extension and design decisions</x:v>
      </x:c>
      <x:c r="U30" s="7" t="str">
        <x:v>workstream:d;priority:p0;category:baseline</x:v>
      </x:c>
      <x:c r="V30" s="7" t="str">
        <x:v>Todo</x:v>
      </x:c>
      <x:c r="W30" s="7" t="str"/>
      <x:c r="X30" s="9" t="str">
        <x:v>Internal Sydney date. Estimate includes implementation, author checks and handoff; reviewer time is separately budgeted.</x:v>
      </x:c>
      <x:c r="Y30" s="12" t="n">
        <x:f>INT((M30-'Import Guide'!$B$3)/7)+1</x:f>
        <x:v>1</x:v>
      </x:c>
      <x:c r="Z30" s="12" t="str">
        <x:f>VLOOKUP(A30,'Dependencies'!$A$2:$G$224,7,FALSE)</x:f>
        <x:v>OK</x:v>
      </x:c>
      <x:c r="AA30" s="12" t="str">
        <x:f>IF(COUNTIFS('Milestones'!$A$2:$A$7,G30)&lt;&gt;1,"BAD GATE",IF(M30&lt;=VLOOKUP(G30,'Milestones'!$A$2:$C$7,3,FALSE),"OK","LATE"))</x:f>
        <x:v>OK</x:v>
      </x:c>
      <x:c r="AB30" s="12" t="n">
        <x:f>IF(OR(V30="Done",V30="Cut"),"",M30-TODAY())</x:f>
        <x:v>7</x:v>
      </x:c>
    </x:row>
    <x:row r="31" ht="90" customHeight="1">
      <x:c r="A31" s="7" t="str">
        <x:v>BL-C-04</x:v>
      </x:c>
      <x:c r="B31" s="7" t="str">
        <x:v>Implement track confirmation, median filter and expiry</x:v>
      </x:c>
      <x:c r="C31" s="9" t="str">
        <x:v>N-of-M confirmation, robust distance, unseen timeout and source/session-namespaced IDs; None IDs handled conservatively.</x:v>
      </x:c>
      <x:c r="D31" s="9" t="str">
        <x:v>Flicker, ID switch and expiry tests pass; expiry alone cannot authorize resume when visibility is invalid.</x:v>
      </x:c>
      <x:c r="E31" s="7" t="str">
        <x:v>Baseline</x:v>
      </x:c>
      <x:c r="F31" s="7" t="str">
        <x:v>C</x:v>
      </x:c>
      <x:c r="G31" s="7" t="str">
        <x:v>G1</x:v>
      </x:c>
      <x:c r="H31" s="7" t="str">
        <x:v>P0 must</x:v>
      </x:c>
      <x:c r="I31" s="7" t="str">
        <x:v>Ricky</x:v>
      </x:c>
      <x:c r="J31" s="7" t="str">
        <x:f>IF(VLOOKUP(I31,'Team'!$A$2:$B$7,2,FALSE)="","",VLOOKUP(I31,'Team'!$A$2:$B$7,2,FALSE))</x:f>
      </x:c>
      <x:c r="K31" s="7" t="str">
        <x:v>Saviour</x:v>
      </x:c>
      <x:c r="L31" s="10" t="n">
        <x:v>46310</x:v>
      </x:c>
      <x:c r="M31" s="10" t="n">
        <x:v>46310</x:v>
      </x:c>
      <x:c r="N31" s="11" t="n">
        <x:v>3</x:v>
      </x:c>
      <x:c r="O31" s="7" t="str">
        <x:v>BL-C-03</x:v>
      </x:c>
      <x:c r="P31" s="7" t="str">
        <x:v>BL-C-05, BL-D-05, E4-05</x:v>
      </x:c>
      <x:c r="Q31" s="7" t="str">
        <x:v>N</x:v>
      </x:c>
      <x:c r="R31" s="7" t="str">
        <x:v>src/obstacle_perception/track_filter.py</x:v>
      </x:c>
      <x:c r="S31" s="7" t="str">
        <x:v>Temporal filter tests</x:v>
      </x:c>
      <x:c r="T31" s="7" t="str">
        <x:v>Extension and design decisions</x:v>
      </x:c>
      <x:c r="U31" s="7" t="str">
        <x:v>workstream:c;priority:p0;category:baseline</x:v>
      </x:c>
      <x:c r="V31" s="7" t="str">
        <x:v>Todo</x:v>
      </x:c>
      <x:c r="W31" s="7" t="str"/>
      <x:c r="X31" s="9" t="str">
        <x:v>Internal Sydney date. Estimate includes implementation, author checks and handoff; reviewer time is separately budgeted.</x:v>
      </x:c>
      <x:c r="Y31" s="12" t="n">
        <x:f>INT((M31-'Import Guide'!$B$3)/7)+1</x:f>
        <x:v>1</x:v>
      </x:c>
      <x:c r="Z31" s="12" t="str">
        <x:f>VLOOKUP(A31,'Dependencies'!$A$2:$G$224,7,FALSE)</x:f>
        <x:v>OK</x:v>
      </x:c>
      <x:c r="AA31" s="12" t="str">
        <x:f>IF(COUNTIFS('Milestones'!$A$2:$A$7,G31)&lt;&gt;1,"BAD GATE",IF(M31&lt;=VLOOKUP(G31,'Milestones'!$A$2:$C$7,3,FALSE),"OK","LATE"))</x:f>
        <x:v>OK</x:v>
      </x:c>
      <x:c r="AB31" s="12" t="n">
        <x:f>IF(OR(V31="Done",V31="Cut"),"",M31-TODAY())</x:f>
        <x:v>7</x:v>
      </x:c>
    </x:row>
    <x:row r="32" ht="90" customHeight="1">
      <x:c r="A32" s="7" t="str">
        <x:v>BL-E-03</x:v>
      </x:c>
      <x:c r="B32" s="7" t="str">
        <x:v>Measure throttle and brake steps for the fixed vehicle</x:v>
      </x:c>
      <x:c r="C32" s="9" t="str">
        <x:v>Estimate conservative deceleration and response lag at selected dt; capture dry-road values.</x:v>
      </x:c>
      <x:c r="D32" s="9" t="str">
        <x:v>Measured stopping-distance budget includes filtering and latency; config stores justified deceleration.</x:v>
      </x:c>
      <x:c r="E32" s="7" t="str">
        <x:v>Baseline</x:v>
      </x:c>
      <x:c r="F32" s="7" t="str">
        <x:v>E</x:v>
      </x:c>
      <x:c r="G32" s="7" t="str">
        <x:v>G1</x:v>
      </x:c>
      <x:c r="H32" s="7" t="str">
        <x:v>P0 must</x:v>
      </x:c>
      <x:c r="I32" s="7" t="str">
        <x:v>Abdullah</x:v>
      </x:c>
      <x:c r="J32" s="7" t="str">
        <x:f>IF(VLOOKUP(I32,'Team'!$A$2:$B$7,2,FALSE)="","",VLOOKUP(I32,'Team'!$A$2:$B$7,2,FALSE))</x:f>
      </x:c>
      <x:c r="K32" s="7" t="str">
        <x:v>Zhaolin</x:v>
      </x:c>
      <x:c r="L32" s="10" t="n">
        <x:v>46311</x:v>
      </x:c>
      <x:c r="M32" s="10" t="n">
        <x:v>46311</x:v>
      </x:c>
      <x:c r="N32" s="11" t="n">
        <x:v>2.5</x:v>
      </x:c>
      <x:c r="O32" s="7" t="str">
        <x:v>BL-E-02</x:v>
      </x:c>
      <x:c r="P32" s="7" t="str">
        <x:v>TEST-02, BL-D-06</x:v>
      </x:c>
      <x:c r="Q32" s="7" t="str">
        <x:v>Y</x:v>
      </x:c>
      <x:c r="R32" s="7" t="str">
        <x:v>scripts/calibrate_vehicle.py; configs/vehicle_*.yaml</x:v>
      </x:c>
      <x:c r="S32" s="7" t="str">
        <x:v>Longitudinal calibration CSV</x:v>
      </x:c>
      <x:c r="T32" s="7" t="str">
        <x:v>Extension and design decisions</x:v>
      </x:c>
      <x:c r="U32" s="7" t="str">
        <x:v>workstream:e;priority:p0;carla-required;category:baseline</x:v>
      </x:c>
      <x:c r="V32" s="7" t="str">
        <x:v>Todo</x:v>
      </x:c>
      <x:c r="W32" s="7" t="str"/>
      <x:c r="X32" s="9" t="str">
        <x:v>Internal Sydney date. Estimate includes implementation, author checks and handoff; reviewer time is separately budgeted.</x:v>
      </x:c>
      <x:c r="Y32" s="12" t="n">
        <x:f>INT((M32-'Import Guide'!$B$3)/7)+1</x:f>
        <x:v>1</x:v>
      </x:c>
      <x:c r="Z32" s="12" t="str">
        <x:f>VLOOKUP(A32,'Dependencies'!$A$2:$G$224,7,FALSE)</x:f>
        <x:v>OK</x:v>
      </x:c>
      <x:c r="AA32" s="12" t="str">
        <x:f>IF(COUNTIFS('Milestones'!$A$2:$A$7,G32)&lt;&gt;1,"BAD GATE",IF(M32&lt;=VLOOKUP(G32,'Milestones'!$A$2:$C$7,3,FALSE),"OK","LATE"))</x:f>
        <x:v>OK</x:v>
      </x:c>
      <x:c r="AB32" s="12" t="n">
        <x:f>IF(OR(V32="Done",V32="Cut"),"",M32-TODAY())</x:f>
        <x:v>8</x:v>
      </x:c>
    </x:row>
    <x:row r="33" ht="90" customHeight="1">
      <x:c r="A33" s="7" t="str">
        <x:v>BL-A-05</x:v>
      </x:c>
      <x:c r="B33" s="7" t="str">
        <x:v>Tune fixed-dt control without replacing Pure Pursuit</x:v>
      </x:c>
      <x:c r="C33" s="9" t="str">
        <x:v>Tune gains, lookahead and curve speed against the continuous path; keep endpoint braking intact.</x:v>
      </x:c>
      <x:c r="D33" s="9" t="str">
        <x:v>Measured CTE/speed converge without oscillation; no private PID-state mutation; config and comparison trace committed.</x:v>
      </x:c>
      <x:c r="E33" s="7" t="str">
        <x:v>Baseline</x:v>
      </x:c>
      <x:c r="F33" s="7" t="str">
        <x:v>A</x:v>
      </x:c>
      <x:c r="G33" s="7" t="str">
        <x:v>G1</x:v>
      </x:c>
      <x:c r="H33" s="7" t="str">
        <x:v>P0 must</x:v>
      </x:c>
      <x:c r="I33" s="7" t="str">
        <x:v>Zhaolin</x:v>
      </x:c>
      <x:c r="J33" s="7" t="str">
        <x:f>IF(VLOOKUP(I33,'Team'!$A$2:$B$7,2,FALSE)="","",VLOOKUP(I33,'Team'!$A$2:$B$7,2,FALSE))</x:f>
      </x:c>
      <x:c r="K33" s="7" t="str">
        <x:v>Abdullah</x:v>
      </x:c>
      <x:c r="L33" s="10" t="n">
        <x:v>46311</x:v>
      </x:c>
      <x:c r="M33" s="10" t="n">
        <x:v>46311</x:v>
      </x:c>
      <x:c r="N33" s="11" t="n">
        <x:v>3</x:v>
      </x:c>
      <x:c r="O33" s="7" t="str">
        <x:v>BL-A-04,BL-E-02</x:v>
      </x:c>
      <x:c r="P33" s="7" t="str">
        <x:v>TEST-02, TEST-03, E5-01</x:v>
      </x:c>
      <x:c r="Q33" s="7" t="str">
        <x:v>Y</x:v>
      </x:c>
      <x:c r="R33" s="7" t="str">
        <x:v>src/navigation_control/; configs/stack.yaml</x:v>
      </x:c>
      <x:c r="S33" s="7" t="str">
        <x:v>Navigation tuning plot</x:v>
      </x:c>
      <x:c r="T33" s="7" t="str">
        <x:v>Extension and design decisions</x:v>
      </x:c>
      <x:c r="U33" s="7" t="str">
        <x:v>workstream:a;priority:p0;carla-required;category:baseline</x:v>
      </x:c>
      <x:c r="V33" s="7" t="str">
        <x:v>Todo</x:v>
      </x:c>
      <x:c r="W33" s="7" t="str"/>
      <x:c r="X33" s="9" t="str">
        <x:v>Internal Sydney date. Estimate includes implementation, author checks and handoff; reviewer time is separately budgeted.</x:v>
      </x:c>
      <x:c r="Y33" s="12" t="n">
        <x:f>INT((M33-'Import Guide'!$B$3)/7)+1</x:f>
        <x:v>1</x:v>
      </x:c>
      <x:c r="Z33" s="12" t="str">
        <x:f>VLOOKUP(A33,'Dependencies'!$A$2:$G$224,7,FALSE)</x:f>
        <x:v>OK</x:v>
      </x:c>
      <x:c r="AA33" s="12" t="str">
        <x:f>IF(COUNTIFS('Milestones'!$A$2:$A$7,G33)&lt;&gt;1,"BAD GATE",IF(M33&lt;=VLOOKUP(G33,'Milestones'!$A$2:$C$7,3,FALSE),"OK","LATE"))</x:f>
        <x:v>OK</x:v>
      </x:c>
      <x:c r="AB33" s="12" t="n">
        <x:f>IF(OR(V33="Done",V33="Cut"),"",M33-TODAY())</x:f>
        <x:v>8</x:v>
      </x:c>
    </x:row>
    <x:row r="34" ht="90" customHeight="1">
      <x:c r="A34" s="7" t="str">
        <x:v>BL-B-04</x:v>
      </x:c>
      <x:c r="B34" s="7" t="str">
        <x:v>Validate depth convention and range accuracy in CARLA</x:v>
      </x:c>
      <x:c r="C34" s="9" t="str">
        <x:v>Check optical-axis versus ray range using off-axis known geometry; compare like-for-like object surfaces.</x:v>
      </x:c>
      <x:c r="D34" s="9" t="str">
        <x:v>Convention fixed in CameraModel; median error by range bin reported with sample counts and invalid-depth rate.</x:v>
      </x:c>
      <x:c r="E34" s="7" t="str">
        <x:v>Baseline</x:v>
      </x:c>
      <x:c r="F34" s="7" t="str">
        <x:v>B</x:v>
      </x:c>
      <x:c r="G34" s="7" t="str">
        <x:v>G1</x:v>
      </x:c>
      <x:c r="H34" s="7" t="str">
        <x:v>P0 must</x:v>
      </x:c>
      <x:c r="I34" s="7" t="str">
        <x:v>Mohammad</x:v>
      </x:c>
      <x:c r="J34" s="7" t="str">
        <x:f>IF(VLOOKUP(I34,'Team'!$A$2:$B$7,2,FALSE)="","",VLOOKUP(I34,'Team'!$A$2:$B$7,2,FALSE))</x:f>
        <x:v>kkaaman</x:v>
      </x:c>
      <x:c r="K34" s="7" t="str">
        <x:v>Alan</x:v>
      </x:c>
      <x:c r="L34" s="10" t="n">
        <x:v>46311</x:v>
      </x:c>
      <x:c r="M34" s="10" t="n">
        <x:v>46311</x:v>
      </x:c>
      <x:c r="N34" s="11" t="n">
        <x:v>2</x:v>
      </x:c>
      <x:c r="O34" s="7" t="str">
        <x:v>BL-B-03</x:v>
      </x:c>
      <x:c r="P34" s="7" t="str">
        <x:v>BL-D-06, G1-01, TEST-13</x:v>
      </x:c>
      <x:c r="Q34" s="7" t="str">
        <x:v>Y</x:v>
      </x:c>
      <x:c r="R34" s="7" t="str">
        <x:v>scripts/evaluate_depth.py</x:v>
      </x:c>
      <x:c r="S34" s="7" t="str">
        <x:v>Depth calibration plots</x:v>
      </x:c>
      <x:c r="T34" s="7" t="str">
        <x:v>Extension and design decisions</x:v>
      </x:c>
      <x:c r="U34" s="7" t="str">
        <x:v>workstream:b;priority:p0;carla-required;category:baseline</x:v>
      </x:c>
      <x:c r="V34" s="7" t="str">
        <x:v>Todo</x:v>
      </x:c>
      <x:c r="W34" s="7" t="str"/>
      <x:c r="X34" s="9" t="str">
        <x:v>Internal Sydney date. Estimate includes implementation, author checks and handoff; reviewer time is separately budgeted.</x:v>
      </x:c>
      <x:c r="Y34" s="12" t="n">
        <x:f>INT((M34-'Import Guide'!$B$3)/7)+1</x:f>
        <x:v>1</x:v>
      </x:c>
      <x:c r="Z34" s="12" t="str">
        <x:f>VLOOKUP(A34,'Dependencies'!$A$2:$G$224,7,FALSE)</x:f>
        <x:v>OK</x:v>
      </x:c>
      <x:c r="AA34" s="12" t="str">
        <x:f>IF(COUNTIFS('Milestones'!$A$2:$A$7,G34)&lt;&gt;1,"BAD GATE",IF(M34&lt;=VLOOKUP(G34,'Milestones'!$A$2:$C$7,3,FALSE),"OK","LATE"))</x:f>
        <x:v>OK</x:v>
      </x:c>
      <x:c r="AB34" s="12" t="n">
        <x:f>IF(OR(V34="Done",V34="Cut"),"",M34-TODAY())</x:f>
        <x:v>8</x:v>
      </x:c>
    </x:row>
    <x:row r="35" ht="90" customHeight="1">
      <x:c r="A35" s="7" t="str">
        <x:v>BL-C-05</x:v>
      </x:c>
      <x:c r="B35" s="7" t="str">
        <x:v>Benchmark detection and track confirmation range offline</x:v>
      </x:c>
      <x:c r="C35" s="9" t="str">
        <x:v>Sweep image size/confidence on captured person/car sequences; quantify first raw and first confirmed detections.</x:v>
      </x:c>
      <x:c r="D35" s="9" t="str">
        <x:v>Range/recall/latency table includes pedestrian &gt;=25 m target; freeze settings or request lower cruise speed.</x:v>
      </x:c>
      <x:c r="E35" s="7" t="str">
        <x:v>Baseline</x:v>
      </x:c>
      <x:c r="F35" s="7" t="str">
        <x:v>C</x:v>
      </x:c>
      <x:c r="G35" s="7" t="str">
        <x:v>G1</x:v>
      </x:c>
      <x:c r="H35" s="7" t="str">
        <x:v>P0 must</x:v>
      </x:c>
      <x:c r="I35" s="7" t="str">
        <x:v>Ricky</x:v>
      </x:c>
      <x:c r="J35" s="7" t="str">
        <x:f>IF(VLOOKUP(I35,'Team'!$A$2:$B$7,2,FALSE)="","",VLOOKUP(I35,'Team'!$A$2:$B$7,2,FALSE))</x:f>
      </x:c>
      <x:c r="K35" s="7" t="str">
        <x:v>Saviour</x:v>
      </x:c>
      <x:c r="L35" s="10" t="n">
        <x:v>46311</x:v>
      </x:c>
      <x:c r="M35" s="10" t="n">
        <x:v>46311</x:v>
      </x:c>
      <x:c r="N35" s="11" t="n">
        <x:v>3</x:v>
      </x:c>
      <x:c r="O35" s="7" t="str">
        <x:v>BL-C-04,BL-B-03</x:v>
      </x:c>
      <x:c r="P35" s="7" t="str">
        <x:v>BL-D-06, BL-C-06</x:v>
      </x:c>
      <x:c r="Q35" s="7" t="str">
        <x:v>N</x:v>
      </x:c>
      <x:c r="R35" s="7" t="str">
        <x:v>scripts/benchmark_detector.py</x:v>
      </x:c>
      <x:c r="S35" s="7" t="str">
        <x:v>Range and inference benchmark</x:v>
      </x:c>
      <x:c r="T35" s="7" t="str">
        <x:v>Extension and design decisions</x:v>
      </x:c>
      <x:c r="U35" s="7" t="str">
        <x:v>workstream:c;priority:p0;category:baseline</x:v>
      </x:c>
      <x:c r="V35" s="7" t="str">
        <x:v>Todo</x:v>
      </x:c>
      <x:c r="W35" s="7" t="str"/>
      <x:c r="X35" s="9" t="str">
        <x:v>Internal Sydney date. Estimate includes implementation, author checks and handoff; reviewer time is separately budgeted.</x:v>
      </x:c>
      <x:c r="Y35" s="12" t="n">
        <x:f>INT((M35-'Import Guide'!$B$3)/7)+1</x:f>
        <x:v>1</x:v>
      </x:c>
      <x:c r="Z35" s="12" t="str">
        <x:f>VLOOKUP(A35,'Dependencies'!$A$2:$G$224,7,FALSE)</x:f>
        <x:v>OK</x:v>
      </x:c>
      <x:c r="AA35" s="12" t="str">
        <x:f>IF(COUNTIFS('Milestones'!$A$2:$A$7,G35)&lt;&gt;1,"BAD GATE",IF(M35&lt;=VLOOKUP(G35,'Milestones'!$A$2:$C$7,3,FALSE),"OK","LATE"))</x:f>
        <x:v>OK</x:v>
      </x:c>
      <x:c r="AB35" s="12" t="n">
        <x:f>IF(OR(V35="Done",V35="Cut"),"",M35-TODAY())</x:f>
        <x:v>8</x:v>
      </x:c>
    </x:row>
    <x:row r="36" ht="90" customHeight="1">
      <x:c r="A36" s="7" t="str">
        <x:v>BL-D-05</x:v>
      </x:c>
      <x:c r="B36" s="7" t="str">
        <x:v>Specify behaviour guards and rate-limited speed policy</x:v>
      </x:c>
      <x:c r="C36" s="9" t="str">
        <x:v>Define every state/guard; stopping envelope includes measured delay, front bumper, invalid frames and emergency precedence.</x:v>
      </x:c>
      <x:c r="D36" s="9" t="str">
        <x:v>Transition table and tests cover loss of visibility in HOLD; no acceleration limit delays emergency braking.</x:v>
      </x:c>
      <x:c r="E36" s="7" t="str">
        <x:v>Baseline</x:v>
      </x:c>
      <x:c r="F36" s="7" t="str">
        <x:v>D</x:v>
      </x:c>
      <x:c r="G36" s="7" t="str">
        <x:v>G1</x:v>
      </x:c>
      <x:c r="H36" s="7" t="str">
        <x:v>P0 must</x:v>
      </x:c>
      <x:c r="I36" s="7" t="str">
        <x:v>Alan</x:v>
      </x:c>
      <x:c r="J36" s="7" t="str">
        <x:f>IF(VLOOKUP(I36,'Team'!$A$2:$B$7,2,FALSE)="","",VLOOKUP(I36,'Team'!$A$2:$B$7,2,FALSE))</x:f>
      </x:c>
      <x:c r="K36" s="7" t="str">
        <x:v>Mohammad</x:v>
      </x:c>
      <x:c r="L36" s="10" t="n">
        <x:v>46311</x:v>
      </x:c>
      <x:c r="M36" s="10" t="n">
        <x:v>46311</x:v>
      </x:c>
      <x:c r="N36" s="11" t="n">
        <x:v>2.5</x:v>
      </x:c>
      <x:c r="O36" s="7" t="str">
        <x:v>BL-D-04,BL-C-04</x:v>
      </x:c>
      <x:c r="P36" s="7" t="str">
        <x:v>BL-D-06, BL-D-07</x:v>
      </x:c>
      <x:c r="Q36" s="7" t="str">
        <x:v>N</x:v>
      </x:c>
      <x:c r="R36" s="7" t="str">
        <x:v>docs/behaviour.md; tests/unit/</x:v>
      </x:c>
      <x:c r="S36" s="7" t="str">
        <x:v>Behaviour specification</x:v>
      </x:c>
      <x:c r="T36" s="7" t="str">
        <x:v>Extension and design decisions</x:v>
      </x:c>
      <x:c r="U36" s="7" t="str">
        <x:v>workstream:d;priority:p0;category:baseline</x:v>
      </x:c>
      <x:c r="V36" s="7" t="str">
        <x:v>Todo</x:v>
      </x:c>
      <x:c r="W36" s="7" t="str"/>
      <x:c r="X36" s="9" t="str">
        <x:v>Internal Sydney date. Estimate includes implementation, author checks and handoff; reviewer time is separately budgeted.</x:v>
      </x:c>
      <x:c r="Y36" s="12" t="n">
        <x:f>INT((M36-'Import Guide'!$B$3)/7)+1</x:f>
        <x:v>1</x:v>
      </x:c>
      <x:c r="Z36" s="12" t="str">
        <x:f>VLOOKUP(A36,'Dependencies'!$A$2:$G$224,7,FALSE)</x:f>
        <x:v>OK</x:v>
      </x:c>
      <x:c r="AA36" s="12" t="str">
        <x:f>IF(COUNTIFS('Milestones'!$A$2:$A$7,G36)&lt;&gt;1,"BAD GATE",IF(M36&lt;=VLOOKUP(G36,'Milestones'!$A$2:$C$7,3,FALSE),"OK","LATE"))</x:f>
        <x:v>OK</x:v>
      </x:c>
      <x:c r="AB36" s="12" t="n">
        <x:f>IF(OR(V36="Done",V36="Cut"),"",M36-TODAY())</x:f>
        <x:v>8</x:v>
      </x:c>
    </x:row>
    <x:row r="37" ht="90" customHeight="1">
      <x:c r="A37" s="7" t="str">
        <x:v>BL-F-04</x:v>
      </x:c>
      <x:c r="B37" s="7" t="str">
        <x:v>Add harness S0 to CI and preserve A1 checks</x:v>
      </x:c>
      <x:c r="C37" s="9" t="str">
        <x:v>Run Ruff, pytest and Sphinx jobs; keep supported A1 examples as wrappers around adapter entry points.</x:v>
      </x:c>
      <x:c r="D37" s="9" t="str">
        <x:v>CARLA-free S0 succeeds in CI; required docs and regression commands documented; no accidental model downloads.</x:v>
      </x:c>
      <x:c r="E37" s="7" t="str">
        <x:v>Baseline</x:v>
      </x:c>
      <x:c r="F37" s="7" t="str">
        <x:v>F</x:v>
      </x:c>
      <x:c r="G37" s="7" t="str">
        <x:v>G1</x:v>
      </x:c>
      <x:c r="H37" s="7" t="str">
        <x:v>P0 must</x:v>
      </x:c>
      <x:c r="I37" s="7" t="str">
        <x:v>Saviour</x:v>
      </x:c>
      <x:c r="J37" s="7" t="str">
        <x:f>IF(VLOOKUP(I37,'Team'!$A$2:$B$7,2,FALSE)="","",VLOOKUP(I37,'Team'!$A$2:$B$7,2,FALSE))</x:f>
      </x:c>
      <x:c r="K37" s="7" t="str">
        <x:v>Ricky</x:v>
      </x:c>
      <x:c r="L37" s="10" t="n">
        <x:v>46311</x:v>
      </x:c>
      <x:c r="M37" s="10" t="n">
        <x:v>46311</x:v>
      </x:c>
      <x:c r="N37" s="11" t="n">
        <x:v>2</x:v>
      </x:c>
      <x:c r="O37" s="7" t="str">
        <x:v>BL-F-03,BL-A-03</x:v>
      </x:c>
      <x:c r="P37" s="7" t="str">
        <x:v>G1-01, BL-F-05, E4-04</x:v>
      </x:c>
      <x:c r="Q37" s="7" t="str">
        <x:v>N</x:v>
      </x:c>
      <x:c r="R37" s="7" t="str">
        <x:v>.github/workflows/ci.yml; docs/api.rst</x:v>
      </x:c>
      <x:c r="S37" s="7" t="str">
        <x:v>CI harness artifact</x:v>
      </x:c>
      <x:c r="T37" s="7" t="str">
        <x:v>Extension and design decisions</x:v>
      </x:c>
      <x:c r="U37" s="7" t="str">
        <x:v>workstream:f;priority:p0;category:baseline</x:v>
      </x:c>
      <x:c r="V37" s="7" t="str">
        <x:v>Todo</x:v>
      </x:c>
      <x:c r="W37" s="7" t="str"/>
      <x:c r="X37" s="9" t="str">
        <x:v>Internal Sydney date. Estimate includes implementation, author checks and handoff; reviewer time is separately budgeted.</x:v>
      </x:c>
      <x:c r="Y37" s="12" t="n">
        <x:f>INT((M37-'Import Guide'!$B$3)/7)+1</x:f>
        <x:v>1</x:v>
      </x:c>
      <x:c r="Z37" s="12" t="str">
        <x:f>VLOOKUP(A37,'Dependencies'!$A$2:$G$224,7,FALSE)</x:f>
        <x:v>OK</x:v>
      </x:c>
      <x:c r="AA37" s="12" t="str">
        <x:f>IF(COUNTIFS('Milestones'!$A$2:$A$7,G37)&lt;&gt;1,"BAD GATE",IF(M37&lt;=VLOOKUP(G37,'Milestones'!$A$2:$C$7,3,FALSE),"OK","LATE"))</x:f>
        <x:v>OK</x:v>
      </x:c>
      <x:c r="AB37" s="12" t="n">
        <x:f>IF(OR(V37="Done",V37="Cut"),"",M37-TODAY())</x:f>
        <x:v>8</x:v>
      </x:c>
    </x:row>
    <x:row r="38" ht="90" customHeight="1">
      <x:c r="A38" s="7" t="str">
        <x:v>TEST-02</x:v>
      </x:c>
      <x:c r="B38" s="7" t="str">
        <x:v>Run navigation S0 acceptance five times</x:v>
      </x:c>
      <x:c r="C38" s="9" t="str">
        <x:v>Reset episode, seed and tracker each run; retain every pass/failure rather than selecting best run.</x:v>
      </x:c>
      <x:c r="D38" s="9" t="str">
        <x:v>5/5 completion with 0 collisions and applicable lane/speed/CTE thresholds; all raw run folders retained.</x:v>
      </x:c>
      <x:c r="E38" s="7" t="str">
        <x:v>Testing</x:v>
      </x:c>
      <x:c r="F38" s="7" t="str">
        <x:v>A</x:v>
      </x:c>
      <x:c r="G38" s="7" t="str">
        <x:v>G1</x:v>
      </x:c>
      <x:c r="H38" s="7" t="str">
        <x:v>P0 must</x:v>
      </x:c>
      <x:c r="I38" s="7" t="str">
        <x:v>Zhaolin</x:v>
      </x:c>
      <x:c r="J38" s="7" t="str">
        <x:f>IF(VLOOKUP(I38,'Team'!$A$2:$B$7,2,FALSE)="","",VLOOKUP(I38,'Team'!$A$2:$B$7,2,FALSE))</x:f>
      </x:c>
      <x:c r="K38" s="7" t="str">
        <x:v>Abdullah</x:v>
      </x:c>
      <x:c r="L38" s="10" t="n">
        <x:v>46312</x:v>
      </x:c>
      <x:c r="M38" s="10" t="n">
        <x:v>46312</x:v>
      </x:c>
      <x:c r="N38" s="11" t="n">
        <x:v>2.5</x:v>
      </x:c>
      <x:c r="O38" s="7" t="str">
        <x:v>BL-A-05,BL-E-03</x:v>
      </x:c>
      <x:c r="P38" s="7" t="str">
        <x:v>G1-01</x:v>
      </x:c>
      <x:c r="Q38" s="7" t="str">
        <x:v>Y</x:v>
      </x:c>
      <x:c r="R38" s="7" t="str">
        <x:v>scripts/run_scenario.py</x:v>
      </x:c>
      <x:c r="S38" s="7" t="str">
        <x:v>Five S0 run folders</x:v>
      </x:c>
      <x:c r="T38" s="7" t="str">
        <x:v>Evidence and limitations</x:v>
      </x:c>
      <x:c r="U38" s="7" t="str">
        <x:v>workstream:a;priority:p0;carla-required;category:testing</x:v>
      </x:c>
      <x:c r="V38" s="7" t="str">
        <x:v>Todo</x:v>
      </x:c>
      <x:c r="W38" s="7" t="str"/>
      <x:c r="X38" s="9" t="str">
        <x:v>Internal Sydney date. Estimate includes implementation, author checks and handoff; reviewer time is separately budgeted.</x:v>
      </x:c>
      <x:c r="Y38" s="12" t="n">
        <x:f>INT((M38-'Import Guide'!$B$3)/7)+1</x:f>
        <x:v>1</x:v>
      </x:c>
      <x:c r="Z38" s="12" t="str">
        <x:f>VLOOKUP(A38,'Dependencies'!$A$2:$G$224,7,FALSE)</x:f>
        <x:v>OK</x:v>
      </x:c>
      <x:c r="AA38" s="12" t="str">
        <x:f>IF(COUNTIFS('Milestones'!$A$2:$A$7,G38)&lt;&gt;1,"BAD GATE",IF(M38&lt;=VLOOKUP(G38,'Milestones'!$A$2:$C$7,3,FALSE),"OK","LATE"))</x:f>
        <x:v>OK</x:v>
      </x:c>
      <x:c r="AB38" s="12" t="n">
        <x:f>IF(OR(V38="Done",V38="Cut"),"",M38-TODAY())</x:f>
        <x:v>9</x:v>
      </x:c>
    </x:row>
    <x:row r="39" ht="90" customHeight="1">
      <x:c r="A39" s="7" t="str">
        <x:v>TEST-03</x:v>
      </x:c>
      <x:c r="B39" s="7" t="str">
        <x:v>Measure repaired versus A1 navigation and loop cost</x:v>
      </x:c>
      <x:c r="C39" s="9" t="str">
        <x:v>Use matched route, vehicle and logging where comparable; isolate integration changes and report other differences.</x:v>
      </x:c>
      <x:c r="D39" s="9" t="str">
        <x:v>Before/after CTE and command-age plots; p95 wall latency and real-time factor on demo laptop.</x:v>
      </x:c>
      <x:c r="E39" s="7" t="str">
        <x:v>Testing</x:v>
      </x:c>
      <x:c r="F39" s="7" t="str">
        <x:v>E</x:v>
      </x:c>
      <x:c r="G39" s="7" t="str">
        <x:v>G1</x:v>
      </x:c>
      <x:c r="H39" s="7" t="str">
        <x:v>P0 must</x:v>
      </x:c>
      <x:c r="I39" s="7" t="str">
        <x:v>Abdullah</x:v>
      </x:c>
      <x:c r="J39" s="7" t="str">
        <x:f>IF(VLOOKUP(I39,'Team'!$A$2:$B$7,2,FALSE)="","",VLOOKUP(I39,'Team'!$A$2:$B$7,2,FALSE))</x:f>
      </x:c>
      <x:c r="K39" s="7" t="str">
        <x:v>Zhaolin</x:v>
      </x:c>
      <x:c r="L39" s="10" t="n">
        <x:v>46312</x:v>
      </x:c>
      <x:c r="M39" s="10" t="n">
        <x:v>46312</x:v>
      </x:c>
      <x:c r="N39" s="11" t="n">
        <x:v>2</x:v>
      </x:c>
      <x:c r="O39" s="7" t="str">
        <x:v>BL-A-05,TEST-01</x:v>
      </x:c>
      <x:c r="P39" s="7" t="str">
        <x:v>G1-01</x:v>
      </x:c>
      <x:c r="Q39" s="7" t="str">
        <x:v>Y</x:v>
      </x:c>
      <x:c r="R39" s="7" t="str">
        <x:v>evaluation/; scripts/benchmark_latency.py</x:v>
      </x:c>
      <x:c r="S39" s="7" t="str">
        <x:v>A1/A2 comparison and timing evidence</x:v>
      </x:c>
      <x:c r="T39" s="7" t="str">
        <x:v>Evidence and limitations</x:v>
      </x:c>
      <x:c r="U39" s="7" t="str">
        <x:v>workstream:e;priority:p0;carla-required;category:testing</x:v>
      </x:c>
      <x:c r="V39" s="7" t="str">
        <x:v>Todo</x:v>
      </x:c>
      <x:c r="W39" s="7" t="str"/>
      <x:c r="X39" s="9" t="str">
        <x:v>Internal Sydney date. Estimate includes implementation, author checks and handoff; reviewer time is separately budgeted.</x:v>
      </x:c>
      <x:c r="Y39" s="12" t="n">
        <x:f>INT((M39-'Import Guide'!$B$3)/7)+1</x:f>
        <x:v>1</x:v>
      </x:c>
      <x:c r="Z39" s="12" t="str">
        <x:f>VLOOKUP(A39,'Dependencies'!$A$2:$G$224,7,FALSE)</x:f>
        <x:v>OK</x:v>
      </x:c>
      <x:c r="AA39" s="12" t="str">
        <x:f>IF(COUNTIFS('Milestones'!$A$2:$A$7,G39)&lt;&gt;1,"BAD GATE",IF(M39&lt;=VLOOKUP(G39,'Milestones'!$A$2:$C$7,3,FALSE),"OK","LATE"))</x:f>
        <x:v>OK</x:v>
      </x:c>
      <x:c r="AB39" s="12" t="n">
        <x:f>IF(OR(V39="Done",V39="Cut"),"",M39-TODAY())</x:f>
        <x:v>9</x:v>
      </x:c>
    </x:row>
    <x:row r="40" ht="90" customHeight="1">
      <x:c r="A40" s="7" t="str">
        <x:v>BL-B-05</x:v>
      </x:c>
      <x:c r="B40" s="7" t="str">
        <x:v>Test optional segmentation masking for depth medians</x:v>
      </x:c>
      <x:c r="C40" s="9" t="str">
        <x:v>Ablate inner ROI with/without same-frame semantic mask; run segmentation every N frames with validity flag.</x:v>
      </x:c>
      <x:c r="D40" s="9" t="str">
        <x:v>Retain only if measured depth/false-stop gain justifies cost; never use stale masks as current-frame evidence.</x:v>
      </x:c>
      <x:c r="E40" s="7" t="str">
        <x:v>Baseline</x:v>
      </x:c>
      <x:c r="F40" s="7" t="str">
        <x:v>B</x:v>
      </x:c>
      <x:c r="G40" s="7" t="str">
        <x:v>G1</x:v>
      </x:c>
      <x:c r="H40" s="7" t="str">
        <x:v>P1 should</x:v>
      </x:c>
      <x:c r="I40" s="7" t="str">
        <x:v>Mohammad</x:v>
      </x:c>
      <x:c r="J40" s="7" t="str">
        <x:f>IF(VLOOKUP(I40,'Team'!$A$2:$B$7,2,FALSE)="","",VLOOKUP(I40,'Team'!$A$2:$B$7,2,FALSE))</x:f>
        <x:v>kkaaman</x:v>
      </x:c>
      <x:c r="K40" s="7" t="str">
        <x:v>Alan</x:v>
      </x:c>
      <x:c r="L40" s="10" t="n">
        <x:v>46312</x:v>
      </x:c>
      <x:c r="M40" s="10" t="n">
        <x:v>46312</x:v>
      </x:c>
      <x:c r="N40" s="11" t="n">
        <x:v>2</x:v>
      </x:c>
      <x:c r="O40" s="7" t="str">
        <x:v>RV-01,BL-B-03,BL-D-03</x:v>
      </x:c>
      <x:c r="P40" s="7" t="str">
        <x:v>RV-08</x:v>
      </x:c>
      <x:c r="Q40" s="7" t="str">
        <x:v>N</x:v>
      </x:c>
      <x:c r="R40" s="7" t="str">
        <x:v>src/segmentation/; src/obstacle_perception/box_depth.py</x:v>
      </x:c>
      <x:c r="S40" s="7" t="str">
        <x:v>Segmentation ablation table</x:v>
      </x:c>
      <x:c r="T40" s="7" t="str">
        <x:v>Extension and design decisions</x:v>
      </x:c>
      <x:c r="U40" s="7" t="str">
        <x:v>workstream:b;priority:p1;category:baseline</x:v>
      </x:c>
      <x:c r="V40" s="7" t="str">
        <x:v>Todo</x:v>
      </x:c>
      <x:c r="W40" s="7" t="str"/>
      <x:c r="X40" s="9" t="str">
        <x:v>Internal Sydney date. Estimate includes implementation, author checks and handoff; reviewer time is separately budgeted.</x:v>
      </x:c>
      <x:c r="Y40" s="12" t="n">
        <x:f>INT((M40-'Import Guide'!$B$3)/7)+1</x:f>
        <x:v>1</x:v>
      </x:c>
      <x:c r="Z40" s="12" t="str">
        <x:f>VLOOKUP(A40,'Dependencies'!$A$2:$G$224,7,FALSE)</x:f>
        <x:v>OK</x:v>
      </x:c>
      <x:c r="AA40" s="12" t="str">
        <x:f>IF(COUNTIFS('Milestones'!$A$2:$A$7,G40)&lt;&gt;1,"BAD GATE",IF(M40&lt;=VLOOKUP(G40,'Milestones'!$A$2:$C$7,3,FALSE),"OK","LATE"))</x:f>
        <x:v>OK</x:v>
      </x:c>
      <x:c r="AB40" s="12" t="n">
        <x:f>IF(OR(V40="Done",V40="Cut"),"",M40-TODAY())</x:f>
        <x:v>9</x:v>
      </x:c>
    </x:row>
    <x:row r="41" ht="90" customHeight="1">
      <x:c r="A41" s="7" t="str">
        <x:v>BL-D-06</x:v>
      </x:c>
      <x:c r="B41" s="7" t="str">
        <x:v>Freeze conservative speed and acceptance configuration</x:v>
      </x:c>
      <x:c r="C41" s="9" t="str">
        <x:v>Use measured range and stopping budget; reconcile 5 m/s, 25 m detection, 2.5-6 m margin and p95 100 ms.</x:v>
      </x:c>
      <x:c r="D41" s="9" t="str">
        <x:v>Threshold version stored; a_lat/decel and dt justified; failed 25 m detection reduces speed transparently.</x:v>
      </x:c>
      <x:c r="E41" s="7" t="str">
        <x:v>Baseline</x:v>
      </x:c>
      <x:c r="F41" s="7" t="str">
        <x:v>D</x:v>
      </x:c>
      <x:c r="G41" s="7" t="str">
        <x:v>G1</x:v>
      </x:c>
      <x:c r="H41" s="7" t="str">
        <x:v>P0 must</x:v>
      </x:c>
      <x:c r="I41" s="7" t="str">
        <x:v>Alan</x:v>
      </x:c>
      <x:c r="J41" s="7" t="str">
        <x:f>IF(VLOOKUP(I41,'Team'!$A$2:$B$7,2,FALSE)="","",VLOOKUP(I41,'Team'!$A$2:$B$7,2,FALSE))</x:f>
      </x:c>
      <x:c r="K41" s="7" t="str">
        <x:v>Mohammad</x:v>
      </x:c>
      <x:c r="L41" s="10" t="n">
        <x:v>46312</x:v>
      </x:c>
      <x:c r="M41" s="10" t="n">
        <x:v>46312</x:v>
      </x:c>
      <x:c r="N41" s="11" t="n">
        <x:v>2</x:v>
      </x:c>
      <x:c r="O41" s="7" t="str">
        <x:v>BL-D-05,BL-E-03,BL-C-05,BL-B-04</x:v>
      </x:c>
      <x:c r="P41" s="7" t="str">
        <x:v>G1-01, BL-F-05, BL-D-07, E1-01</x:v>
      </x:c>
      <x:c r="Q41" s="7" t="str">
        <x:v>N</x:v>
      </x:c>
      <x:c r="R41" s="7" t="str">
        <x:v>configs/acceptance.yaml; docs/decisions.md</x:v>
      </x:c>
      <x:c r="S41" s="7" t="str">
        <x:v>G1 threshold decision</x:v>
      </x:c>
      <x:c r="T41" s="7" t="str">
        <x:v>Extension and design decisions</x:v>
      </x:c>
      <x:c r="U41" s="7" t="str">
        <x:v>workstream:d;priority:p0;category:baseline</x:v>
      </x:c>
      <x:c r="V41" s="7" t="str">
        <x:v>Todo</x:v>
      </x:c>
      <x:c r="W41" s="7" t="str"/>
      <x:c r="X41" s="9" t="str">
        <x:v>Internal Sydney date. Estimate includes implementation, author checks and handoff; reviewer time is separately budgeted.</x:v>
      </x:c>
      <x:c r="Y41" s="12" t="n">
        <x:f>INT((M41-'Import Guide'!$B$3)/7)+1</x:f>
        <x:v>1</x:v>
      </x:c>
      <x:c r="Z41" s="12" t="str">
        <x:f>VLOOKUP(A41,'Dependencies'!$A$2:$G$224,7,FALSE)</x:f>
        <x:v>OK</x:v>
      </x:c>
      <x:c r="AA41" s="12" t="str">
        <x:f>IF(COUNTIFS('Milestones'!$A$2:$A$7,G41)&lt;&gt;1,"BAD GATE",IF(M41&lt;=VLOOKUP(G41,'Milestones'!$A$2:$C$7,3,FALSE),"OK","LATE"))</x:f>
        <x:v>OK</x:v>
      </x:c>
      <x:c r="AB41" s="12" t="n">
        <x:f>IF(OR(V41="Done",V41="Cut"),"",M41-TODAY())</x:f>
        <x:v>9</x:v>
      </x:c>
    </x:row>
    <x:row r="42" ht="90" customHeight="1">
      <x:c r="A42" s="7" t="str">
        <x:v>G1-01</x:v>
      </x:c>
      <x:c r="B42" s="7" t="str">
        <x:v>Approve or block the navigation gate with evidence</x:v>
      </x:c>
      <x:c r="C42" s="9" t="str">
        <x:v>Check navigation five-run results, calibrated vehicle, dataset and CI; unresolved failures block extension admission.</x:v>
      </x:c>
      <x:c r="D42" s="9" t="str">
        <x:v>All G1 criteria linked; no nominal pass based solely on harness or supplied kinematic numbers.</x:v>
      </x:c>
      <x:c r="E42" s="7" t="str">
        <x:v>Process</x:v>
      </x:c>
      <x:c r="F42" s="7" t="str">
        <x:v>A</x:v>
      </x:c>
      <x:c r="G42" s="7" t="str">
        <x:v>G1</x:v>
      </x:c>
      <x:c r="H42" s="7" t="str">
        <x:v>P0 must</x:v>
      </x:c>
      <x:c r="I42" s="7" t="str">
        <x:v>Zhaolin</x:v>
      </x:c>
      <x:c r="J42" s="7" t="str">
        <x:f>IF(VLOOKUP(I42,'Team'!$A$2:$B$7,2,FALSE)="","",VLOOKUP(I42,'Team'!$A$2:$B$7,2,FALSE))</x:f>
      </x:c>
      <x:c r="K42" s="7" t="str">
        <x:v>Abdullah</x:v>
      </x:c>
      <x:c r="L42" s="10" t="n">
        <x:v>46313</x:v>
      </x:c>
      <x:c r="M42" s="10" t="n">
        <x:v>46313</x:v>
      </x:c>
      <x:c r="N42" s="11" t="n">
        <x:v>1</x:v>
      </x:c>
      <x:c r="O42" s="7" t="str">
        <x:v>TEST-02,TEST-03,BL-B-04,BL-F-04,BL-D-06</x:v>
      </x:c>
      <x:c r="P42" s="7" t="str">
        <x:v>BL-E-04, BL-A-06, DOC-02, PROC-04</x:v>
      </x:c>
      <x:c r="Q42" s="7" t="str">
        <x:v>N</x:v>
      </x:c>
      <x:c r="R42" s="7" t="str">
        <x:v>docs/gates/G1.md</x:v>
      </x:c>
      <x:c r="S42" s="7" t="str">
        <x:v>G1 decision record</x:v>
      </x:c>
      <x:c r="T42" s="7" t="str">
        <x:v>Scope and rationale</x:v>
      </x:c>
      <x:c r="U42" s="7" t="str">
        <x:v>workstream:a;priority:p0;category:process</x:v>
      </x:c>
      <x:c r="V42" s="7" t="str">
        <x:v>Todo</x:v>
      </x:c>
      <x:c r="W42" s="7" t="str"/>
      <x:c r="X42" s="9" t="str">
        <x:v>Internal Sydney date. Estimate includes implementation, author checks and handoff; reviewer time is separately budgeted.</x:v>
      </x:c>
      <x:c r="Y42" s="12" t="n">
        <x:f>INT((M42-'Import Guide'!$B$3)/7)+1</x:f>
        <x:v>1</x:v>
      </x:c>
      <x:c r="Z42" s="12" t="str">
        <x:f>VLOOKUP(A42,'Dependencies'!$A$2:$G$224,7,FALSE)</x:f>
        <x:v>OK</x:v>
      </x:c>
      <x:c r="AA42" s="12" t="str">
        <x:f>IF(COUNTIFS('Milestones'!$A$2:$A$7,G42)&lt;&gt;1,"BAD GATE",IF(M42&lt;=VLOOKUP(G42,'Milestones'!$A$2:$C$7,3,FALSE),"OK","LATE"))</x:f>
        <x:v>OK</x:v>
      </x:c>
      <x:c r="AB42" s="12" t="n">
        <x:f>IF(OR(V42="Done",V42="Cut"),"",M42-TODAY())</x:f>
        <x:v>10</x:v>
      </x:c>
    </x:row>
    <x:row r="43" ht="90" customHeight="1">
      <x:c r="A43" s="7" t="str">
        <x:v>RV-06</x:v>
      </x:c>
      <x:c r="B43" s="7" t="str">
        <x:v>Repurpose lane estimates as departure monitor and HUD</x:v>
      </x:c>
      <x:c r="C43" s="9" t="str">
        <x:v>Compare image-derived lateral offset with map-based signed CTE; show monitor confidence and validity.</x:v>
      </x:c>
      <x:c r="D43" s="9" t="str">
        <x:v>Monitor no longer rebuilds controller route; correct sign and overlay verified on recorded curves.</x:v>
      </x:c>
      <x:c r="E43" s="7" t="str">
        <x:v>A1 Revamp</x:v>
      </x:c>
      <x:c r="F43" s="7" t="str">
        <x:v>E</x:v>
      </x:c>
      <x:c r="G43" s="7" t="str">
        <x:v>G1</x:v>
      </x:c>
      <x:c r="H43" s="7" t="str">
        <x:v>P1 should</x:v>
      </x:c>
      <x:c r="I43" s="7" t="str">
        <x:v>Abdullah</x:v>
      </x:c>
      <x:c r="J43" s="7" t="str">
        <x:f>IF(VLOOKUP(I43,'Team'!$A$2:$B$7,2,FALSE)="","",VLOOKUP(I43,'Team'!$A$2:$B$7,2,FALSE))</x:f>
      </x:c>
      <x:c r="K43" s="7" t="str">
        <x:v>Zhaolin</x:v>
      </x:c>
      <x:c r="L43" s="10" t="n">
        <x:v>46313</x:v>
      </x:c>
      <x:c r="M43" s="10" t="n">
        <x:v>46313</x:v>
      </x:c>
      <x:c r="N43" s="11" t="n">
        <x:v>2</x:v>
      </x:c>
      <x:c r="O43" s="7" t="str">
        <x:v>RV-03,BL-A-04</x:v>
      </x:c>
      <x:c r="P43" s="7" t="str">
        <x:v>E3-03</x:v>
      </x:c>
      <x:c r="Q43" s="7" t="str">
        <x:v>N</x:v>
      </x:c>
      <x:c r="R43" s="7" t="str">
        <x:v>src/perception/; src/visualisation/</x:v>
      </x:c>
      <x:c r="S43" s="7" t="str">
        <x:v>Lane-monitor replay screenshots</x:v>
      </x:c>
      <x:c r="T43" s="7" t="str">
        <x:v>Extension and design decisions</x:v>
      </x:c>
      <x:c r="U43" s="7" t="str">
        <x:v>workstream:e;priority:p1;category:a1-revamp</x:v>
      </x:c>
      <x:c r="V43" s="7" t="str">
        <x:v>Todo</x:v>
      </x:c>
      <x:c r="W43" s="7" t="str"/>
      <x:c r="X43" s="9" t="str">
        <x:v>Internal Sydney date. Estimate includes implementation, author checks and handoff; reviewer time is separately budgeted.</x:v>
      </x:c>
      <x:c r="Y43" s="12" t="n">
        <x:f>INT((M43-'Import Guide'!$B$3)/7)+1</x:f>
        <x:v>1</x:v>
      </x:c>
      <x:c r="Z43" s="12" t="str">
        <x:f>VLOOKUP(A43,'Dependencies'!$A$2:$G$224,7,FALSE)</x:f>
        <x:v>OK</x:v>
      </x:c>
      <x:c r="AA43" s="12" t="str">
        <x:f>IF(COUNTIFS('Milestones'!$A$2:$A$7,G43)&lt;&gt;1,"BAD GATE",IF(M43&lt;=VLOOKUP(G43,'Milestones'!$A$2:$C$7,3,FALSE),"OK","LATE"))</x:f>
        <x:v>OK</x:v>
      </x:c>
      <x:c r="AB43" s="12" t="n">
        <x:f>IF(OR(V43="Done",V43="Cut"),"",M43-TODAY())</x:f>
        <x:v>10</x:v>
      </x:c>
    </x:row>
    <x:row r="44" ht="90" customHeight="1">
      <x:c r="A44" s="7" t="str">
        <x:v>BL-F-05</x:v>
      </x:c>
      <x:c r="B44" s="7" t="str">
        <x:v>Implement reproducible logger and metric aggregation</x:v>
      </x:c>
      <x:c r="C44" s="9" t="str">
        <x:v>Write config/git/model hashes, tick JSONL, fault reasons, sim/wall clocks, summaries and failed-run retention.</x:v>
      </x:c>
      <x:c r="D44" s="9" t="str">
        <x:v>Golden traces compute expected CTE, applicable speed RMS, latency and margin; S4 completion is N/A.</x:v>
      </x:c>
      <x:c r="E44" s="7" t="str">
        <x:v>Baseline</x:v>
      </x:c>
      <x:c r="F44" s="7" t="str">
        <x:v>F</x:v>
      </x:c>
      <x:c r="G44" s="7" t="str">
        <x:v>G1</x:v>
      </x:c>
      <x:c r="H44" s="7" t="str">
        <x:v>P0 must</x:v>
      </x:c>
      <x:c r="I44" s="7" t="str">
        <x:v>Saviour</x:v>
      </x:c>
      <x:c r="J44" s="7" t="str">
        <x:f>IF(VLOOKUP(I44,'Team'!$A$2:$B$7,2,FALSE)="","",VLOOKUP(I44,'Team'!$A$2:$B$7,2,FALSE))</x:f>
      </x:c>
      <x:c r="K44" s="7" t="str">
        <x:v>Ricky</x:v>
      </x:c>
      <x:c r="L44" s="10" t="n">
        <x:v>46312</x:v>
      </x:c>
      <x:c r="M44" s="10" t="n">
        <x:v>46312</x:v>
      </x:c>
      <x:c r="N44" s="11" t="n">
        <x:v>3</x:v>
      </x:c>
      <x:c r="O44" s="7" t="str">
        <x:v>BL-F-04,BL-D-06</x:v>
      </x:c>
      <x:c r="P44" s="7" t="str">
        <x:v>BL-B-06, BL-F-06, TEST-14</x:v>
      </x:c>
      <x:c r="Q44" s="7" t="str">
        <x:v>N</x:v>
      </x:c>
      <x:c r="R44" s="7" t="str">
        <x:v>src/evaluation/; scripts/evaluate_runs.py</x:v>
      </x:c>
      <x:c r="S44" s="7" t="str">
        <x:v>Metric golden-fixture results</x:v>
      </x:c>
      <x:c r="T44" s="7" t="str">
        <x:v>Extension and design decisions</x:v>
      </x:c>
      <x:c r="U44" s="7" t="str">
        <x:v>workstream:f;priority:p0;category:baseline</x:v>
      </x:c>
      <x:c r="V44" s="7" t="str">
        <x:v>Todo</x:v>
      </x:c>
      <x:c r="W44" s="7" t="str"/>
      <x:c r="X44" s="9" t="str">
        <x:v>Internal Sydney date. Estimate includes implementation, author checks and handoff; reviewer time is separately budgeted. Same-day handoff: complete/review BL-D-06 before starting this task.</x:v>
      </x:c>
      <x:c r="Y44" s="12" t="n">
        <x:f>INT((M44-'Import Guide'!$B$3)/7)+1</x:f>
        <x:v>1</x:v>
      </x:c>
      <x:c r="Z44" s="12" t="str">
        <x:f>VLOOKUP(A44,'Dependencies'!$A$2:$G$224,7,FALSE)</x:f>
        <x:v>OK</x:v>
      </x:c>
      <x:c r="AA44" s="12" t="str">
        <x:f>IF(COUNTIFS('Milestones'!$A$2:$A$7,G44)&lt;&gt;1,"BAD GATE",IF(M44&lt;=VLOOKUP(G44,'Milestones'!$A$2:$C$7,3,FALSE),"OK","LATE"))</x:f>
        <x:v>OK</x:v>
      </x:c>
      <x:c r="AB44" s="12" t="n">
        <x:f>IF(OR(V44="Done",V44="Cut"),"",M44-TODAY())</x:f>
        <x:v>9</x:v>
      </x:c>
    </x:row>
    <x:row r="45" ht="90" customHeight="1">
      <x:c r="A45" s="7" t="str">
        <x:v>BL-D-07</x:v>
      </x:c>
      <x:c r="B45" s="7" t="str">
        <x:v>Implement obstacle and curvature speed governor</x:v>
      </x:c>
      <x:c r="C45" s="9" t="str">
        <x:v>Minimum cruise/curve/obstacle cap; account for delay; clamp nonnegative radicands; limit acceleration.</x:v>
      </x:c>
      <x:c r="D45" s="9" t="str">
        <x:v>Straight path avoids zero-curvature division; nearest obstacle and emergency override always win.</x:v>
      </x:c>
      <x:c r="E45" s="7" t="str">
        <x:v>Baseline</x:v>
      </x:c>
      <x:c r="F45" s="7" t="str">
        <x:v>D</x:v>
      </x:c>
      <x:c r="G45" s="7" t="str">
        <x:v>G2</x:v>
      </x:c>
      <x:c r="H45" s="7" t="str">
        <x:v>P0 must</x:v>
      </x:c>
      <x:c r="I45" s="7" t="str">
        <x:v>Alan</x:v>
      </x:c>
      <x:c r="J45" s="7" t="str">
        <x:f>IF(VLOOKUP(I45,'Team'!$A$2:$B$7,2,FALSE)="","",VLOOKUP(I45,'Team'!$A$2:$B$7,2,FALSE))</x:f>
      </x:c>
      <x:c r="K45" s="7" t="str">
        <x:v>Mohammad</x:v>
      </x:c>
      <x:c r="L45" s="10" t="n">
        <x:v>46313</x:v>
      </x:c>
      <x:c r="M45" s="10" t="n">
        <x:v>46313</x:v>
      </x:c>
      <x:c r="N45" s="11" t="n">
        <x:v>3</x:v>
      </x:c>
      <x:c r="O45" s="7" t="str">
        <x:v>BL-D-05,BL-D-06</x:v>
      </x:c>
      <x:c r="P45" s="7" t="str">
        <x:v>BL-D-08, E5-03</x:v>
      </x:c>
      <x:c r="Q45" s="7" t="str">
        <x:v>N</x:v>
      </x:c>
      <x:c r="R45" s="7" t="str">
        <x:v>src/planning/speed_governor.py</x:v>
      </x:c>
      <x:c r="S45" s="7" t="str">
        <x:v>Governor unit results</x:v>
      </x:c>
      <x:c r="T45" s="7" t="str">
        <x:v>Extension and design decisions</x:v>
      </x:c>
      <x:c r="U45" s="7" t="str">
        <x:v>workstream:d;priority:p0;category:baseline</x:v>
      </x:c>
      <x:c r="V45" s="7" t="str">
        <x:v>Todo</x:v>
      </x:c>
      <x:c r="W45" s="7" t="str"/>
      <x:c r="X45" s="9" t="str">
        <x:v>Internal Sydney date. Estimate includes implementation, author checks and handoff; reviewer time is separately budgeted.</x:v>
      </x:c>
      <x:c r="Y45" s="12" t="n">
        <x:f>INT((M45-'Import Guide'!$B$3)/7)+1</x:f>
        <x:v>1</x:v>
      </x:c>
      <x:c r="Z45" s="12" t="str">
        <x:f>VLOOKUP(A45,'Dependencies'!$A$2:$G$224,7,FALSE)</x:f>
        <x:v>OK</x:v>
      </x:c>
      <x:c r="AA45" s="12" t="str">
        <x:f>IF(COUNTIFS('Milestones'!$A$2:$A$7,G45)&lt;&gt;1,"BAD GATE",IF(M45&lt;=VLOOKUP(G45,'Milestones'!$A$2:$C$7,3,FALSE),"OK","LATE"))</x:f>
        <x:v>OK</x:v>
      </x:c>
      <x:c r="AB45" s="12" t="n">
        <x:f>IF(OR(V45="Done",V45="Cut"),"",M45-TODAY())</x:f>
        <x:v>10</x:v>
      </x:c>
    </x:row>
    <x:row r="46" ht="90" customHeight="1">
      <x:c r="A46" s="7" t="str">
        <x:v>BL-C-06</x:v>
      </x:c>
      <x:c r="B46" s="7" t="str">
        <x:v>Join detector tracks to valid depth observations</x:v>
      </x:c>
      <x:c r="C46" s="9" t="str">
        <x:v>Join exact frame and source IDs; reject expired or uncalibrated observations; feed sensor-agnostic obstacles.</x:v>
      </x:c>
      <x:c r="D46" s="9" t="str">
        <x:v>Replay output contains route footprints with uncertainty/validity; no truth labels reach control.</x:v>
      </x:c>
      <x:c r="E46" s="7" t="str">
        <x:v>Baseline</x:v>
      </x:c>
      <x:c r="F46" s="7" t="str">
        <x:v>C</x:v>
      </x:c>
      <x:c r="G46" s="7" t="str">
        <x:v>G2</x:v>
      </x:c>
      <x:c r="H46" s="7" t="str">
        <x:v>P0 must</x:v>
      </x:c>
      <x:c r="I46" s="7" t="str">
        <x:v>Ricky</x:v>
      </x:c>
      <x:c r="J46" s="7" t="str">
        <x:f>IF(VLOOKUP(I46,'Team'!$A$2:$B$7,2,FALSE)="","",VLOOKUP(I46,'Team'!$A$2:$B$7,2,FALSE))</x:f>
      </x:c>
      <x:c r="K46" s="7" t="str">
        <x:v>Saviour</x:v>
      </x:c>
      <x:c r="L46" s="10" t="n">
        <x:v>46313</x:v>
      </x:c>
      <x:c r="M46" s="10" t="n">
        <x:v>46313</x:v>
      </x:c>
      <x:c r="N46" s="11" t="n">
        <x:v>2.5</x:v>
      </x:c>
      <x:c r="O46" s="7" t="str">
        <x:v>BL-C-05,BL-D-04</x:v>
      </x:c>
      <x:c r="P46" s="7" t="str">
        <x:v>BL-D-08, BL-F-06, BL-C-07, E2-04</x:v>
      </x:c>
      <x:c r="Q46" s="7" t="str">
        <x:v>N</x:v>
      </x:c>
      <x:c r="R46" s="7" t="str">
        <x:v>src/obstacle_perception/association.py</x:v>
      </x:c>
      <x:c r="S46" s="7" t="str">
        <x:v>Obstacle replay artifact</x:v>
      </x:c>
      <x:c r="T46" s="7" t="str">
        <x:v>Extension and design decisions</x:v>
      </x:c>
      <x:c r="U46" s="7" t="str">
        <x:v>workstream:c;priority:p0;category:baseline</x:v>
      </x:c>
      <x:c r="V46" s="7" t="str">
        <x:v>Todo</x:v>
      </x:c>
      <x:c r="W46" s="7" t="str"/>
      <x:c r="X46" s="9" t="str">
        <x:v>Internal Sydney date. Estimate includes implementation, author checks and handoff; reviewer time is separately budgeted.</x:v>
      </x:c>
      <x:c r="Y46" s="12" t="n">
        <x:f>INT((M46-'Import Guide'!$B$3)/7)+1</x:f>
        <x:v>1</x:v>
      </x:c>
      <x:c r="Z46" s="12" t="str">
        <x:f>VLOOKUP(A46,'Dependencies'!$A$2:$G$224,7,FALSE)</x:f>
        <x:v>OK</x:v>
      </x:c>
      <x:c r="AA46" s="12" t="str">
        <x:f>IF(COUNTIFS('Milestones'!$A$2:$A$7,G46)&lt;&gt;1,"BAD GATE",IF(M46&lt;=VLOOKUP(G46,'Milestones'!$A$2:$C$7,3,FALSE),"OK","LATE"))</x:f>
        <x:v>OK</x:v>
      </x:c>
      <x:c r="AB46" s="12" t="n">
        <x:f>IF(OR(V46="Done",V46="Cut"),"",M46-TODAY())</x:f>
        <x:v>10</x:v>
      </x:c>
    </x:row>
    <x:row r="47" ht="90" customHeight="1">
      <x:c r="A47" s="7" t="str">
        <x:v>BL-B-06</x:v>
      </x:c>
      <x:c r="B47" s="7" t="str">
        <x:v>Implement deterministic obstacle scenarios and events</x:v>
      </x:c>
      <x:c r="C47" s="9" t="str">
        <x:v>Spawn stationary car/person, roadside negative and bend case; remove S1/S2 only after timed HOLD.</x:v>
      </x:c>
      <x:c r="D47" s="9" t="str">
        <x:v>S0-S5 YAMLs store seeds and scripted event timing; green-light scenario setup lives in adapter.</x:v>
      </x:c>
      <x:c r="E47" s="7" t="str">
        <x:v>Baseline</x:v>
      </x:c>
      <x:c r="F47" s="7" t="str">
        <x:v>B</x:v>
      </x:c>
      <x:c r="G47" s="7" t="str">
        <x:v>G2</x:v>
      </x:c>
      <x:c r="H47" s="7" t="str">
        <x:v>P0 must</x:v>
      </x:c>
      <x:c r="I47" s="7" t="str">
        <x:v>Mohammad</x:v>
      </x:c>
      <x:c r="J47" s="7" t="str">
        <x:f>IF(VLOOKUP(I47,'Team'!$A$2:$B$7,2,FALSE)="","",VLOOKUP(I47,'Team'!$A$2:$B$7,2,FALSE))</x:f>
        <x:v>kkaaman</x:v>
      </x:c>
      <x:c r="K47" s="7" t="str">
        <x:v>Alan</x:v>
      </x:c>
      <x:c r="L47" s="10" t="n">
        <x:v>46314</x:v>
      </x:c>
      <x:c r="M47" s="10" t="n">
        <x:v>46314</x:v>
      </x:c>
      <x:c r="N47" s="11" t="n">
        <x:v>3</x:v>
      </x:c>
      <x:c r="O47" s="7" t="str">
        <x:v>BL-B-02,BL-A-04,BL-F-05</x:v>
      </x:c>
      <x:c r="P47" s="7" t="str">
        <x:v>BL-E-04, BL-D-09, BL-B-07, E1-02</x:v>
      </x:c>
      <x:c r="Q47" s="7" t="str">
        <x:v>Y</x:v>
      </x:c>
      <x:c r="R47" s="7" t="str">
        <x:v>src/carla_adapter/scenario.py; configs/scenarios/</x:v>
      </x:c>
      <x:c r="S47" s="7" t="str">
        <x:v>Scenario smoke captures</x:v>
      </x:c>
      <x:c r="T47" s="7" t="str">
        <x:v>Extension and design decisions</x:v>
      </x:c>
      <x:c r="U47" s="7" t="str">
        <x:v>workstream:b;priority:p0;carla-required;category:baseline</x:v>
      </x:c>
      <x:c r="V47" s="7" t="str">
        <x:v>Todo</x:v>
      </x:c>
      <x:c r="W47" s="7" t="str"/>
      <x:c r="X47" s="9" t="str">
        <x:v>Internal Sydney date. Estimate includes implementation, author checks and handoff; reviewer time is separately budgeted.</x:v>
      </x:c>
      <x:c r="Y47" s="12" t="n">
        <x:f>INT((M47-'Import Guide'!$B$3)/7)+1</x:f>
        <x:v>2</x:v>
      </x:c>
      <x:c r="Z47" s="12" t="str">
        <x:f>VLOOKUP(A47,'Dependencies'!$A$2:$G$224,7,FALSE)</x:f>
        <x:v>OK</x:v>
      </x:c>
      <x:c r="AA47" s="12" t="str">
        <x:f>IF(COUNTIFS('Milestones'!$A$2:$A$7,G47)&lt;&gt;1,"BAD GATE",IF(M47&lt;=VLOOKUP(G47,'Milestones'!$A$2:$C$7,3,FALSE),"OK","LATE"))</x:f>
        <x:v>OK</x:v>
      </x:c>
      <x:c r="AB47" s="12" t="n">
        <x:f>IF(OR(V47="Done",V47="Cut"),"",M47-TODAY())</x:f>
        <x:v>11</x:v>
      </x:c>
    </x:row>
    <x:row r="48" ht="90" customHeight="1">
      <x:c r="A48" s="7" t="str">
        <x:v>BL-D-08</x:v>
      </x:c>
      <x:c r="B48" s="7" t="str">
        <x:v>Implement stop-hold-resume state machine</x:v>
      </x:c>
      <x:c r="C48" s="9" t="str">
        <x:v>CRUISE/APPROACH/STOPPING/HOLD/RESUME and EMERGENCY_STOP; confirmation and clear hysteresis use fresh frames.</x:v>
      </x:c>
      <x:c r="D48" s="9" t="str">
        <x:v>State tests include flicker, disappearance, unknown corridor, fault latch/reset and obstacle reappearance.</x:v>
      </x:c>
      <x:c r="E48" s="7" t="str">
        <x:v>Baseline</x:v>
      </x:c>
      <x:c r="F48" s="7" t="str">
        <x:v>D</x:v>
      </x:c>
      <x:c r="G48" s="7" t="str">
        <x:v>G2</x:v>
      </x:c>
      <x:c r="H48" s="7" t="str">
        <x:v>P0 must</x:v>
      </x:c>
      <x:c r="I48" s="7" t="str">
        <x:v>Alan</x:v>
      </x:c>
      <x:c r="J48" s="7" t="str">
        <x:f>IF(VLOOKUP(I48,'Team'!$A$2:$B$7,2,FALSE)="","",VLOOKUP(I48,'Team'!$A$2:$B$7,2,FALSE))</x:f>
      </x:c>
      <x:c r="K48" s="7" t="str">
        <x:v>Mohammad</x:v>
      </x:c>
      <x:c r="L48" s="10" t="n">
        <x:v>46314</x:v>
      </x:c>
      <x:c r="M48" s="10" t="n">
        <x:v>46314</x:v>
      </x:c>
      <x:c r="N48" s="11" t="n">
        <x:v>3</x:v>
      </x:c>
      <x:c r="O48" s="7" t="str">
        <x:v>BL-D-07,BL-C-06</x:v>
      </x:c>
      <x:c r="P48" s="7" t="str">
        <x:v>BL-F-06, BL-E-04, BL-A-06</x:v>
      </x:c>
      <x:c r="Q48" s="7" t="str">
        <x:v>N</x:v>
      </x:c>
      <x:c r="R48" s="7" t="str">
        <x:v>src/planning/behaviour.py</x:v>
      </x:c>
      <x:c r="S48" s="7" t="str">
        <x:v>Behaviour transition tests</x:v>
      </x:c>
      <x:c r="T48" s="7" t="str">
        <x:v>Extension and design decisions</x:v>
      </x:c>
      <x:c r="U48" s="7" t="str">
        <x:v>workstream:d;priority:p0;category:baseline</x:v>
      </x:c>
      <x:c r="V48" s="7" t="str">
        <x:v>Todo</x:v>
      </x:c>
      <x:c r="W48" s="7" t="str"/>
      <x:c r="X48" s="9" t="str">
        <x:v>Internal Sydney date. Estimate includes implementation, author checks and handoff; reviewer time is separately budgeted.</x:v>
      </x:c>
      <x:c r="Y48" s="12" t="n">
        <x:f>INT((M48-'Import Guide'!$B$3)/7)+1</x:f>
        <x:v>2</x:v>
      </x:c>
      <x:c r="Z48" s="12" t="str">
        <x:f>VLOOKUP(A48,'Dependencies'!$A$2:$G$224,7,FALSE)</x:f>
        <x:v>OK</x:v>
      </x:c>
      <x:c r="AA48" s="12" t="str">
        <x:f>IF(COUNTIFS('Milestones'!$A$2:$A$7,G48)&lt;&gt;1,"BAD GATE",IF(M48&lt;=VLOOKUP(G48,'Milestones'!$A$2:$C$7,3,FALSE),"OK","LATE"))</x:f>
        <x:v>OK</x:v>
      </x:c>
      <x:c r="AB48" s="12" t="n">
        <x:f>IF(OR(V48="Done",V48="Cut"),"",M48-TODAY())</x:f>
        <x:v>11</x:v>
      </x:c>
    </x:row>
    <x:row r="49" ht="90" customHeight="1">
      <x:c r="A49" s="7" t="str">
        <x:v>BL-F-06</x:v>
      </x:c>
      <x:c r="B49" s="7" t="str">
        <x:v>Integrate perception-to-control stop in the harness</x:v>
      </x:c>
      <x:c r="C49" s="9" t="str">
        <x:v>Connect detector, depth, corridor, filters, governor and retained PathFollower through stack.step.</x:v>
      </x:c>
      <x:c r="D49" s="9" t="str">
        <x:v>Synthetic S1 stops/holds/resumes; fault injection stops; no ground-truth obstacle bypass in production path.</x:v>
      </x:c>
      <x:c r="E49" s="7" t="str">
        <x:v>Baseline</x:v>
      </x:c>
      <x:c r="F49" s="7" t="str">
        <x:v>F</x:v>
      </x:c>
      <x:c r="G49" s="7" t="str">
        <x:v>G2</x:v>
      </x:c>
      <x:c r="H49" s="7" t="str">
        <x:v>P0 must</x:v>
      </x:c>
      <x:c r="I49" s="7" t="str">
        <x:v>Saviour</x:v>
      </x:c>
      <x:c r="J49" s="7" t="str">
        <x:f>IF(VLOOKUP(I49,'Team'!$A$2:$B$7,2,FALSE)="","",VLOOKUP(I49,'Team'!$A$2:$B$7,2,FALSE))</x:f>
      </x:c>
      <x:c r="K49" s="7" t="str">
        <x:v>Ricky</x:v>
      </x:c>
      <x:c r="L49" s="10" t="n">
        <x:v>46315</x:v>
      </x:c>
      <x:c r="M49" s="10" t="n">
        <x:v>46315</x:v>
      </x:c>
      <x:c r="N49" s="11" t="n">
        <x:v>3</x:v>
      </x:c>
      <x:c r="O49" s="7" t="str">
        <x:v>BL-D-08,BL-C-06,BL-F-05</x:v>
      </x:c>
      <x:c r="P49" s="7" t="str">
        <x:v>G2-01, BL-F-07</x:v>
      </x:c>
      <x:c r="Q49" s="7" t="str">
        <x:v>N</x:v>
      </x:c>
      <x:c r="R49" s="7" t="str">
        <x:v>src/autonomy/stack.py; tests/integration/</x:v>
      </x:c>
      <x:c r="S49" s="7" t="str">
        <x:v>Harness S1 end-to-end trace</x:v>
      </x:c>
      <x:c r="T49" s="7" t="str">
        <x:v>Extension and design decisions</x:v>
      </x:c>
      <x:c r="U49" s="7" t="str">
        <x:v>workstream:f;priority:p0;category:baseline</x:v>
      </x:c>
      <x:c r="V49" s="7" t="str">
        <x:v>Todo</x:v>
      </x:c>
      <x:c r="W49" s="7" t="str"/>
      <x:c r="X49" s="9" t="str">
        <x:v>Internal Sydney date. Estimate includes implementation, author checks and handoff; reviewer time is separately budgeted.</x:v>
      </x:c>
      <x:c r="Y49" s="12" t="n">
        <x:f>INT((M49-'Import Guide'!$B$3)/7)+1</x:f>
        <x:v>2</x:v>
      </x:c>
      <x:c r="Z49" s="12" t="str">
        <x:f>VLOOKUP(A49,'Dependencies'!$A$2:$G$224,7,FALSE)</x:f>
        <x:v>OK</x:v>
      </x:c>
      <x:c r="AA49" s="12" t="str">
        <x:f>IF(COUNTIFS('Milestones'!$A$2:$A$7,G49)&lt;&gt;1,"BAD GATE",IF(M49&lt;=VLOOKUP(G49,'Milestones'!$A$2:$C$7,3,FALSE),"OK","LATE"))</x:f>
        <x:v>OK</x:v>
      </x:c>
      <x:c r="AB49" s="12" t="n">
        <x:f>IF(OR(V49="Done",V49="Cut"),"",M49-TODAY())</x:f>
        <x:v>12</x:v>
      </x:c>
    </x:row>
    <x:row r="50" ht="90" customHeight="1">
      <x:c r="A50" s="7" t="str">
        <x:v>BL-E-04</x:v>
      </x:c>
      <x:c r="B50" s="7" t="str">
        <x:v>Wire the complete stack into CarlaWorld</x:v>
      </x:c>
      <x:c r="C50" s="9" t="str">
        <x:v>Use same stack as harness; attach RGB-D, evaluation sensors and HUD; checkpoint last known safe release.</x:v>
      </x:c>
      <x:c r="D50" s="9" t="str">
        <x:v>One full deterministic episode logs all timing stages; kill/exception path sends controlled stop and cleans up.</x:v>
      </x:c>
      <x:c r="E50" s="7" t="str">
        <x:v>Baseline</x:v>
      </x:c>
      <x:c r="F50" s="7" t="str">
        <x:v>E</x:v>
      </x:c>
      <x:c r="G50" s="7" t="str">
        <x:v>G2</x:v>
      </x:c>
      <x:c r="H50" s="7" t="str">
        <x:v>P0 must</x:v>
      </x:c>
      <x:c r="I50" s="7" t="str">
        <x:v>Abdullah</x:v>
      </x:c>
      <x:c r="J50" s="7" t="str">
        <x:f>IF(VLOOKUP(I50,'Team'!$A$2:$B$7,2,FALSE)="","",VLOOKUP(I50,'Team'!$A$2:$B$7,2,FALSE))</x:f>
      </x:c>
      <x:c r="K50" s="7" t="str">
        <x:v>Zhaolin</x:v>
      </x:c>
      <x:c r="L50" s="10" t="n">
        <x:v>46315</x:v>
      </x:c>
      <x:c r="M50" s="10" t="n">
        <x:v>46315</x:v>
      </x:c>
      <x:c r="N50" s="11" t="n">
        <x:v>3</x:v>
      </x:c>
      <x:c r="O50" s="7" t="str">
        <x:v>BL-B-06,BL-D-08,G1-01</x:v>
      </x:c>
      <x:c r="P50" s="7" t="str">
        <x:v>G2-01</x:v>
      </x:c>
      <x:c r="Q50" s="7" t="str">
        <x:v>Y</x:v>
      </x:c>
      <x:c r="R50" s="7" t="str">
        <x:v>src/carla_adapter/carla_world.py; scripts/run_scenario.py</x:v>
      </x:c>
      <x:c r="S50" s="7" t="str">
        <x:v>Integrated CARLA smoke trace</x:v>
      </x:c>
      <x:c r="T50" s="7" t="str">
        <x:v>Extension and design decisions</x:v>
      </x:c>
      <x:c r="U50" s="7" t="str">
        <x:v>workstream:e;priority:p0;carla-required;category:baseline</x:v>
      </x:c>
      <x:c r="V50" s="7" t="str">
        <x:v>Todo</x:v>
      </x:c>
      <x:c r="W50" s="7" t="str"/>
      <x:c r="X50" s="9" t="str">
        <x:v>Internal Sydney date. Estimate includes implementation, author checks and handoff; reviewer time is separately budgeted.</x:v>
      </x:c>
      <x:c r="Y50" s="12" t="n">
        <x:f>INT((M50-'Import Guide'!$B$3)/7)+1</x:f>
        <x:v>2</x:v>
      </x:c>
      <x:c r="Z50" s="12" t="str">
        <x:f>VLOOKUP(A50,'Dependencies'!$A$2:$G$224,7,FALSE)</x:f>
        <x:v>OK</x:v>
      </x:c>
      <x:c r="AA50" s="12" t="str">
        <x:f>IF(COUNTIFS('Milestones'!$A$2:$A$7,G50)&lt;&gt;1,"BAD GATE",IF(M50&lt;=VLOOKUP(G50,'Milestones'!$A$2:$C$7,3,FALSE),"OK","LATE"))</x:f>
        <x:v>OK</x:v>
      </x:c>
      <x:c r="AB50" s="12" t="n">
        <x:f>IF(OR(V50="Done",V50="Cut"),"",M50-TODAY())</x:f>
        <x:v>12</x:v>
      </x:c>
    </x:row>
    <x:row r="51" ht="90" customHeight="1">
      <x:c r="A51" s="7" t="str">
        <x:v>G2-01</x:v>
      </x:c>
      <x:c r="B51" s="7" t="str">
        <x:v>Demonstrate the first perception-driven stationary-car stop</x:v>
      </x:c>
      <x:c r="C51" s="9" t="str">
        <x:v>Run S1, inspect nearest obstacle, requested speed and brake timeline; triage integration defects.</x:v>
      </x:c>
      <x:c r="D51" s="9" t="str">
        <x:v>Car stops before collision using RGB-D detections; crude-stop evidence recorded without claiming all thresholds.</x:v>
      </x:c>
      <x:c r="E51" s="7" t="str">
        <x:v>Process</x:v>
      </x:c>
      <x:c r="F51" s="7" t="str">
        <x:v>E</x:v>
      </x:c>
      <x:c r="G51" s="7" t="str">
        <x:v>G2</x:v>
      </x:c>
      <x:c r="H51" s="7" t="str">
        <x:v>P0 must</x:v>
      </x:c>
      <x:c r="I51" s="7" t="str">
        <x:v>Abdullah</x:v>
      </x:c>
      <x:c r="J51" s="7" t="str">
        <x:f>IF(VLOOKUP(I51,'Team'!$A$2:$B$7,2,FALSE)="","",VLOOKUP(I51,'Team'!$A$2:$B$7,2,FALSE))</x:f>
      </x:c>
      <x:c r="K51" s="7" t="str">
        <x:v>Zhaolin</x:v>
      </x:c>
      <x:c r="L51" s="10" t="n">
        <x:v>46316</x:v>
      </x:c>
      <x:c r="M51" s="10" t="n">
        <x:v>46316</x:v>
      </x:c>
      <x:c r="N51" s="11" t="n">
        <x:v>3</x:v>
      </x:c>
      <x:c r="O51" s="7" t="str">
        <x:v>BL-E-04,BL-F-06</x:v>
      </x:c>
      <x:c r="P51" s="7" t="str">
        <x:v>BL-D-09, BL-C-07, BL-F-07, BL-B-07</x:v>
      </x:c>
      <x:c r="Q51" s="7" t="str">
        <x:v>Y</x:v>
      </x:c>
      <x:c r="R51" s="7" t="str">
        <x:v>configs/scenarios/S1.yaml</x:v>
      </x:c>
      <x:c r="S51" s="7" t="str">
        <x:v>G2 first-stop video and log</x:v>
      </x:c>
      <x:c r="T51" s="7" t="str">
        <x:v>Scope and rationale</x:v>
      </x:c>
      <x:c r="U51" s="7" t="str">
        <x:v>workstream:e;priority:p0;carla-required;category:process</x:v>
      </x:c>
      <x:c r="V51" s="7" t="str">
        <x:v>Todo</x:v>
      </x:c>
      <x:c r="W51" s="7" t="str"/>
      <x:c r="X51" s="9" t="str">
        <x:v>Internal Sydney date. Estimate includes implementation, author checks and handoff; reviewer time is separately budgeted.</x:v>
      </x:c>
      <x:c r="Y51" s="12" t="n">
        <x:f>INT((M51-'Import Guide'!$B$3)/7)+1</x:f>
        <x:v>2</x:v>
      </x:c>
      <x:c r="Z51" s="12" t="str">
        <x:f>VLOOKUP(A51,'Dependencies'!$A$2:$G$224,7,FALSE)</x:f>
        <x:v>OK</x:v>
      </x:c>
      <x:c r="AA51" s="12" t="str">
        <x:f>IF(COUNTIFS('Milestones'!$A$2:$A$7,G51)&lt;&gt;1,"BAD GATE",IF(M51&lt;=VLOOKUP(G51,'Milestones'!$A$2:$C$7,3,FALSE),"OK","LATE"))</x:f>
        <x:v>OK</x:v>
      </x:c>
      <x:c r="AB51" s="12" t="n">
        <x:f>IF(OR(V51="Done",V51="Cut"),"",M51-TODAY())</x:f>
        <x:v>13</x:v>
      </x:c>
    </x:row>
    <x:row r="52" ht="90" customHeight="1">
      <x:c r="A52" s="7" t="str">
        <x:v>BL-A-06</x:v>
      </x:c>
      <x:c r="B52" s="7" t="str">
        <x:v>Verify temporary stops do not latch mission completion</x:v>
      </x:c>
      <x:c r="C52" s="9" t="str">
        <x:v>Replay mid-curve pause, resume and end-of-route cases against A1 controller API.</x:v>
      </x:c>
      <x:c r="D52" s="9" t="str">
        <x:v>Mid-route target zero resumes on positive target; endpoint FINISHED stays latched; path progress does not jump.</x:v>
      </x:c>
      <x:c r="E52" s="7" t="str">
        <x:v>Baseline</x:v>
      </x:c>
      <x:c r="F52" s="7" t="str">
        <x:v>A</x:v>
      </x:c>
      <x:c r="G52" s="7" t="str">
        <x:v>G3</x:v>
      </x:c>
      <x:c r="H52" s="7" t="str">
        <x:v>P0 must</x:v>
      </x:c>
      <x:c r="I52" s="7" t="str">
        <x:v>Zhaolin</x:v>
      </x:c>
      <x:c r="J52" s="7" t="str">
        <x:f>IF(VLOOKUP(I52,'Team'!$A$2:$B$7,2,FALSE)="","",VLOOKUP(I52,'Team'!$A$2:$B$7,2,FALSE))</x:f>
      </x:c>
      <x:c r="K52" s="7" t="str">
        <x:v>Abdullah</x:v>
      </x:c>
      <x:c r="L52" s="10" t="n">
        <x:v>46315</x:v>
      </x:c>
      <x:c r="M52" s="10" t="n">
        <x:v>46315</x:v>
      </x:c>
      <x:c r="N52" s="11" t="n">
        <x:v>2</x:v>
      </x:c>
      <x:c r="O52" s="7" t="str">
        <x:v>BL-D-08,G1-01</x:v>
      </x:c>
      <x:c r="P52" s="7" t="str">
        <x:v>TEST-06, TEST-16</x:v>
      </x:c>
      <x:c r="Q52" s="7" t="str">
        <x:v>N</x:v>
      </x:c>
      <x:c r="R52" s="7" t="str">
        <x:v>tests/navigation_control/</x:v>
      </x:c>
      <x:c r="S52" s="7" t="str">
        <x:v>Controller integration regression</x:v>
      </x:c>
      <x:c r="T52" s="7" t="str">
        <x:v>Extension and design decisions</x:v>
      </x:c>
      <x:c r="U52" s="7" t="str">
        <x:v>workstream:a;priority:p0;category:baseline</x:v>
      </x:c>
      <x:c r="V52" s="7" t="str">
        <x:v>Todo</x:v>
      </x:c>
      <x:c r="W52" s="7" t="str"/>
      <x:c r="X52" s="9" t="str">
        <x:v>Internal Sydney date. Estimate includes implementation, author checks and handoff; reviewer time is separately budgeted.</x:v>
      </x:c>
      <x:c r="Y52" s="12" t="n">
        <x:f>INT((M52-'Import Guide'!$B$3)/7)+1</x:f>
        <x:v>2</x:v>
      </x:c>
      <x:c r="Z52" s="12" t="str">
        <x:f>VLOOKUP(A52,'Dependencies'!$A$2:$G$224,7,FALSE)</x:f>
        <x:v>OK</x:v>
      </x:c>
      <x:c r="AA52" s="12" t="str">
        <x:f>IF(COUNTIFS('Milestones'!$A$2:$A$7,G52)&lt;&gt;1,"BAD GATE",IF(M52&lt;=VLOOKUP(G52,'Milestones'!$A$2:$C$7,3,FALSE),"OK","LATE"))</x:f>
        <x:v>OK</x:v>
      </x:c>
      <x:c r="AB52" s="12" t="n">
        <x:f>IF(OR(V52="Done",V52="Cut"),"",M52-TODAY())</x:f>
        <x:v>12</x:v>
      </x:c>
    </x:row>
    <x:row r="53" ht="90" customHeight="1">
      <x:c r="A53" s="7" t="str">
        <x:v>BL-D-09</x:v>
      </x:c>
      <x:c r="B53" s="7" t="str">
        <x:v>Tune stopping margin and visibility-aware clear hysteresis</x:v>
      </x:c>
      <x:c r="C53" s="9" t="str">
        <x:v>Use S1/S2 measured braking and confirmation delay; hold safely during detector misses.</x:v>
      </x:c>
      <x:c r="D53" s="9" t="str">
        <x:v>Both classes stop 2.5-6 m away, hold and resume after fresh valid clear frames; uncertainty remains conservative.</x:v>
      </x:c>
      <x:c r="E53" s="7" t="str">
        <x:v>Baseline</x:v>
      </x:c>
      <x:c r="F53" s="7" t="str">
        <x:v>D</x:v>
      </x:c>
      <x:c r="G53" s="7" t="str">
        <x:v>G3</x:v>
      </x:c>
      <x:c r="H53" s="7" t="str">
        <x:v>P0 must</x:v>
      </x:c>
      <x:c r="I53" s="7" t="str">
        <x:v>Alan</x:v>
      </x:c>
      <x:c r="J53" s="7" t="str">
        <x:f>IF(VLOOKUP(I53,'Team'!$A$2:$B$7,2,FALSE)="","",VLOOKUP(I53,'Team'!$A$2:$B$7,2,FALSE))</x:f>
      </x:c>
      <x:c r="K53" s="7" t="str">
        <x:v>Mohammad</x:v>
      </x:c>
      <x:c r="L53" s="10" t="n">
        <x:v>46317</x:v>
      </x:c>
      <x:c r="M53" s="10" t="n">
        <x:v>46317</x:v>
      </x:c>
      <x:c r="N53" s="11" t="n">
        <x:v>2.5</x:v>
      </x:c>
      <x:c r="O53" s="7" t="str">
        <x:v>G2-01,BL-B-06</x:v>
      </x:c>
      <x:c r="P53" s="7" t="str">
        <x:v>TEST-04, TEST-05, TEST-07</x:v>
      </x:c>
      <x:c r="Q53" s="7" t="str">
        <x:v>Y</x:v>
      </x:c>
      <x:c r="R53" s="7" t="str">
        <x:v>configs/stack.yaml</x:v>
      </x:c>
      <x:c r="S53" s="7" t="str">
        <x:v>Stopping calibration runs</x:v>
      </x:c>
      <x:c r="T53" s="7" t="str">
        <x:v>Extension and design decisions</x:v>
      </x:c>
      <x:c r="U53" s="7" t="str">
        <x:v>workstream:d;priority:p0;carla-required;category:baseline</x:v>
      </x:c>
      <x:c r="V53" s="7" t="str">
        <x:v>Todo</x:v>
      </x:c>
      <x:c r="W53" s="7" t="str"/>
      <x:c r="X53" s="9" t="str">
        <x:v>Internal Sydney date. Estimate includes implementation, author checks and handoff; reviewer time is separately budgeted.</x:v>
      </x:c>
      <x:c r="Y53" s="12" t="n">
        <x:f>INT((M53-'Import Guide'!$B$3)/7)+1</x:f>
        <x:v>2</x:v>
      </x:c>
      <x:c r="Z53" s="12" t="str">
        <x:f>VLOOKUP(A53,'Dependencies'!$A$2:$G$224,7,FALSE)</x:f>
        <x:v>OK</x:v>
      </x:c>
      <x:c r="AA53" s="12" t="str">
        <x:f>IF(COUNTIFS('Milestones'!$A$2:$A$7,G53)&lt;&gt;1,"BAD GATE",IF(M53&lt;=VLOOKUP(G53,'Milestones'!$A$2:$C$7,3,FALSE),"OK","LATE"))</x:f>
        <x:v>OK</x:v>
      </x:c>
      <x:c r="AB53" s="12" t="n">
        <x:f>IF(OR(V53="Done",V53="Cut"),"",M53-TODAY())</x:f>
        <x:v>14</x:v>
      </x:c>
    </x:row>
    <x:row r="54" ht="90" customHeight="1">
      <x:c r="A54" s="7" t="str">
        <x:v>BL-C-07</x:v>
      </x:c>
      <x:c r="B54" s="7" t="str">
        <x:v>Fix detection flicker and ID-switch failures from first stop</x:v>
      </x:c>
      <x:c r="C54" s="9" t="str">
        <x:v>Replay actual integration sequences; document parameter effects rather than overfitting individual frames.</x:v>
      </x:c>
      <x:c r="D54" s="9" t="str">
        <x:v>Confirmation latency stays within stop budget; unknown depth/track loss cannot trigger premature resume.</x:v>
      </x:c>
      <x:c r="E54" s="7" t="str">
        <x:v>Baseline</x:v>
      </x:c>
      <x:c r="F54" s="7" t="str">
        <x:v>C</x:v>
      </x:c>
      <x:c r="G54" s="7" t="str">
        <x:v>G3</x:v>
      </x:c>
      <x:c r="H54" s="7" t="str">
        <x:v>P0 must</x:v>
      </x:c>
      <x:c r="I54" s="7" t="str">
        <x:v>Ricky</x:v>
      </x:c>
      <x:c r="J54" s="7" t="str">
        <x:f>IF(VLOOKUP(I54,'Team'!$A$2:$B$7,2,FALSE)="","",VLOOKUP(I54,'Team'!$A$2:$B$7,2,FALSE))</x:f>
      </x:c>
      <x:c r="K54" s="7" t="str">
        <x:v>Saviour</x:v>
      </x:c>
      <x:c r="L54" s="10" t="n">
        <x:v>46317</x:v>
      </x:c>
      <x:c r="M54" s="10" t="n">
        <x:v>46317</x:v>
      </x:c>
      <x:c r="N54" s="11" t="n">
        <x:v>2.5</x:v>
      </x:c>
      <x:c r="O54" s="7" t="str">
        <x:v>G2-01,BL-C-06</x:v>
      </x:c>
      <x:c r="P54" s="7" t="str">
        <x:v>TEST-04, TEST-05, TEST-07</x:v>
      </x:c>
      <x:c r="Q54" s="7" t="str">
        <x:v>N</x:v>
      </x:c>
      <x:c r="R54" s="7" t="str">
        <x:v>src/obstacle_perception/track_filter.py</x:v>
      </x:c>
      <x:c r="S54" s="7" t="str">
        <x:v>Replay failure and correction table</x:v>
      </x:c>
      <x:c r="T54" s="7" t="str">
        <x:v>Extension and design decisions</x:v>
      </x:c>
      <x:c r="U54" s="7" t="str">
        <x:v>workstream:c;priority:p0;category:baseline</x:v>
      </x:c>
      <x:c r="V54" s="7" t="str">
        <x:v>Todo</x:v>
      </x:c>
      <x:c r="W54" s="7" t="str"/>
      <x:c r="X54" s="9" t="str">
        <x:v>Internal Sydney date. Estimate includes implementation, author checks and handoff; reviewer time is separately budgeted.</x:v>
      </x:c>
      <x:c r="Y54" s="12" t="n">
        <x:f>INT((M54-'Import Guide'!$B$3)/7)+1</x:f>
        <x:v>2</x:v>
      </x:c>
      <x:c r="Z54" s="12" t="str">
        <x:f>VLOOKUP(A54,'Dependencies'!$A$2:$G$224,7,FALSE)</x:f>
        <x:v>OK</x:v>
      </x:c>
      <x:c r="AA54" s="12" t="str">
        <x:f>IF(COUNTIFS('Milestones'!$A$2:$A$7,G54)&lt;&gt;1,"BAD GATE",IF(M54&lt;=VLOOKUP(G54,'Milestones'!$A$2:$C$7,3,FALSE),"OK","LATE"))</x:f>
        <x:v>OK</x:v>
      </x:c>
      <x:c r="AB54" s="12" t="n">
        <x:f>IF(OR(V54="Done",V54="Cut"),"",M54-TODAY())</x:f>
        <x:v>14</x:v>
      </x:c>
    </x:row>
    <x:row r="55" ht="90" customHeight="1">
      <x:c r="A55" s="7" t="str">
        <x:v>BL-F-07</x:v>
      </x:c>
      <x:c r="B55" s="7" t="str">
        <x:v>Build one-command acceptance runner and fault suite</x:v>
      </x:c>
      <x:c r="C55" s="9" t="str">
        <x:v>Run/configure S0-S5 repetitions, aggregate valid metrics and nonzero exit on failure; separate CARLA marker.</x:v>
      </x:c>
      <x:c r="D55" s="9" t="str">
        <x:v>Harness suite and CLI argument checks pass; no test labelled CARLA pass without simulator output.</x:v>
      </x:c>
      <x:c r="E55" s="7" t="str">
        <x:v>Baseline</x:v>
      </x:c>
      <x:c r="F55" s="7" t="str">
        <x:v>F</x:v>
      </x:c>
      <x:c r="G55" s="7" t="str">
        <x:v>G3</x:v>
      </x:c>
      <x:c r="H55" s="7" t="str">
        <x:v>P0 must</x:v>
      </x:c>
      <x:c r="I55" s="7" t="str">
        <x:v>Saviour</x:v>
      </x:c>
      <x:c r="J55" s="7" t="str">
        <x:f>IF(VLOOKUP(I55,'Team'!$A$2:$B$7,2,FALSE)="","",VLOOKUP(I55,'Team'!$A$2:$B$7,2,FALSE))</x:f>
      </x:c>
      <x:c r="K55" s="7" t="str">
        <x:v>Ricky</x:v>
      </x:c>
      <x:c r="L55" s="10" t="n">
        <x:v>46317</x:v>
      </x:c>
      <x:c r="M55" s="10" t="n">
        <x:v>46317</x:v>
      </x:c>
      <x:c r="N55" s="11" t="n">
        <x:v>2.5</x:v>
      </x:c>
      <x:c r="O55" s="7" t="str">
        <x:v>BL-F-06,G2-01</x:v>
      </x:c>
      <x:c r="P55" s="7" t="str">
        <x:v>TEST-04, TEST-05, TEST-06, TEST-07, DOC-03</x:v>
      </x:c>
      <x:c r="Q55" s="7" t="str">
        <x:v>N</x:v>
      </x:c>
      <x:c r="R55" s="7" t="str">
        <x:v>scripts/run_acceptance_suite.py; tests/integration/</x:v>
      </x:c>
      <x:c r="S55" s="7" t="str">
        <x:v>Runner golden-output fixture</x:v>
      </x:c>
      <x:c r="T55" s="7" t="str">
        <x:v>Extension and design decisions</x:v>
      </x:c>
      <x:c r="U55" s="7" t="str">
        <x:v>workstream:f;priority:p0;category:baseline</x:v>
      </x:c>
      <x:c r="V55" s="7" t="str">
        <x:v>Todo</x:v>
      </x:c>
      <x:c r="W55" s="7" t="str"/>
      <x:c r="X55" s="9" t="str">
        <x:v>Internal Sydney date. Estimate includes implementation, author checks and handoff; reviewer time is separately budgeted.</x:v>
      </x:c>
      <x:c r="Y55" s="12" t="n">
        <x:f>INT((M55-'Import Guide'!$B$3)/7)+1</x:f>
        <x:v>2</x:v>
      </x:c>
      <x:c r="Z55" s="12" t="str">
        <x:f>VLOOKUP(A55,'Dependencies'!$A$2:$G$224,7,FALSE)</x:f>
        <x:v>OK</x:v>
      </x:c>
      <x:c r="AA55" s="12" t="str">
        <x:f>IF(COUNTIFS('Milestones'!$A$2:$A$7,G55)&lt;&gt;1,"BAD GATE",IF(M55&lt;=VLOOKUP(G55,'Milestones'!$A$2:$C$7,3,FALSE),"OK","LATE"))</x:f>
        <x:v>OK</x:v>
      </x:c>
      <x:c r="AB55" s="12" t="n">
        <x:f>IF(OR(V55="Done",V55="Cut"),"",M55-TODAY())</x:f>
        <x:v>14</x:v>
      </x:c>
    </x:row>
    <x:row r="56" ht="90" customHeight="1">
      <x:c r="A56" s="7" t="str">
        <x:v>BL-B-07</x:v>
      </x:c>
      <x:c r="B56" s="7" t="str">
        <x:v>Verify collision, lane invasion and ground-truth metrics</x:v>
      </x:c>
      <x:c r="C56" s="9" t="str">
        <x:v>Check sensor events and oriented extents; stopping distance is ego-front to nearest obstacle surface.</x:v>
      </x:c>
      <x:c r="D56" s="9" t="str">
        <x:v>Known-distance fixture agrees; duplicate collision events handled consistently; planned maneuvers explicitly annotated.</x:v>
      </x:c>
      <x:c r="E56" s="7" t="str">
        <x:v>Baseline</x:v>
      </x:c>
      <x:c r="F56" s="7" t="str">
        <x:v>B</x:v>
      </x:c>
      <x:c r="G56" s="7" t="str">
        <x:v>G3</x:v>
      </x:c>
      <x:c r="H56" s="7" t="str">
        <x:v>P0 must</x:v>
      </x:c>
      <x:c r="I56" s="7" t="str">
        <x:v>Mohammad</x:v>
      </x:c>
      <x:c r="J56" s="7" t="str">
        <x:f>IF(VLOOKUP(I56,'Team'!$A$2:$B$7,2,FALSE)="","",VLOOKUP(I56,'Team'!$A$2:$B$7,2,FALSE))</x:f>
        <x:v>kkaaman</x:v>
      </x:c>
      <x:c r="K56" s="7" t="str">
        <x:v>Alan</x:v>
      </x:c>
      <x:c r="L56" s="10" t="n">
        <x:v>46317</x:v>
      </x:c>
      <x:c r="M56" s="10" t="n">
        <x:v>46317</x:v>
      </x:c>
      <x:c r="N56" s="11" t="n">
        <x:v>2</x:v>
      </x:c>
      <x:c r="O56" s="7" t="str">
        <x:v>G2-01,BL-B-06</x:v>
      </x:c>
      <x:c r="P56" s="7" t="str">
        <x:v>TEST-04, TEST-05, TEST-06, TEST-07, RV-08</x:v>
      </x:c>
      <x:c r="Q56" s="7" t="str">
        <x:v>Y</x:v>
      </x:c>
      <x:c r="R56" s="7" t="str">
        <x:v>src/carla_adapter/ground_truth.py; src/evaluation/</x:v>
      </x:c>
      <x:c r="S56" s="7" t="str">
        <x:v>Metric calibration log</x:v>
      </x:c>
      <x:c r="T56" s="7" t="str">
        <x:v>Extension and design decisions</x:v>
      </x:c>
      <x:c r="U56" s="7" t="str">
        <x:v>workstream:b;priority:p0;carla-required;category:baseline</x:v>
      </x:c>
      <x:c r="V56" s="7" t="str">
        <x:v>Todo</x:v>
      </x:c>
      <x:c r="W56" s="7" t="str"/>
      <x:c r="X56" s="9" t="str">
        <x:v>Internal Sydney date. Estimate includes implementation, author checks and handoff; reviewer time is separately budgeted.</x:v>
      </x:c>
      <x:c r="Y56" s="12" t="n">
        <x:f>INT((M56-'Import Guide'!$B$3)/7)+1</x:f>
        <x:v>2</x:v>
      </x:c>
      <x:c r="Z56" s="12" t="str">
        <x:f>VLOOKUP(A56,'Dependencies'!$A$2:$G$224,7,FALSE)</x:f>
        <x:v>OK</x:v>
      </x:c>
      <x:c r="AA56" s="12" t="str">
        <x:f>IF(COUNTIFS('Milestones'!$A$2:$A$7,G56)&lt;&gt;1,"BAD GATE",IF(M56&lt;=VLOOKUP(G56,'Milestones'!$A$2:$C$7,3,FALSE),"OK","LATE"))</x:f>
        <x:v>OK</x:v>
      </x:c>
      <x:c r="AB56" s="12" t="n">
        <x:f>IF(OR(V56="Done",V56="Cut"),"",M56-TODAY())</x:f>
        <x:v>14</x:v>
      </x:c>
    </x:row>
    <x:row r="57" ht="90" customHeight="1">
      <x:c r="A57" s="7" t="str">
        <x:v>TEST-04</x:v>
      </x:c>
      <x:c r="B57" s="7" t="str">
        <x:v>Run five S1 and five S2 stop-resume acceptance trials</x:v>
      </x:c>
      <x:c r="C57" s="9" t="str">
        <x:v>Test stationary car and pedestrian; complete route after scripted removal.</x:v>
      </x:c>
      <x:c r="D57" s="9" t="str">
        <x:v>10 run records meet applicable thresholds; include hold speed, clear-frame count and resume time.</x:v>
      </x:c>
      <x:c r="E57" s="7" t="str">
        <x:v>Testing</x:v>
      </x:c>
      <x:c r="F57" s="7" t="str">
        <x:v>D</x:v>
      </x:c>
      <x:c r="G57" s="7" t="str">
        <x:v>G3</x:v>
      </x:c>
      <x:c r="H57" s="7" t="str">
        <x:v>P0 must</x:v>
      </x:c>
      <x:c r="I57" s="7" t="str">
        <x:v>Alan</x:v>
      </x:c>
      <x:c r="J57" s="7" t="str">
        <x:f>IF(VLOOKUP(I57,'Team'!$A$2:$B$7,2,FALSE)="","",VLOOKUP(I57,'Team'!$A$2:$B$7,2,FALSE))</x:f>
      </x:c>
      <x:c r="K57" s="7" t="str">
        <x:v>Mohammad</x:v>
      </x:c>
      <x:c r="L57" s="10" t="n">
        <x:v>46318</x:v>
      </x:c>
      <x:c r="M57" s="10" t="n">
        <x:v>46318</x:v>
      </x:c>
      <x:c r="N57" s="11" t="n">
        <x:v>3</x:v>
      </x:c>
      <x:c r="O57" s="7" t="str">
        <x:v>BL-D-09,BL-C-07,BL-F-07,BL-B-07</x:v>
      </x:c>
      <x:c r="P57" s="7" t="str">
        <x:v>TEST-08, TEST-09, TEST-15, PROC-04</x:v>
      </x:c>
      <x:c r="Q57" s="7" t="str">
        <x:v>Y</x:v>
      </x:c>
      <x:c r="R57" s="7" t="str">
        <x:v>scripts/run_acceptance_suite.py</x:v>
      </x:c>
      <x:c r="S57" s="7" t="str">
        <x:v>S1/S2 acceptance evidence</x:v>
      </x:c>
      <x:c r="T57" s="7" t="str">
        <x:v>Evidence and limitations</x:v>
      </x:c>
      <x:c r="U57" s="7" t="str">
        <x:v>workstream:d;priority:p0;carla-required;category:testing</x:v>
      </x:c>
      <x:c r="V57" s="7" t="str">
        <x:v>Todo</x:v>
      </x:c>
      <x:c r="W57" s="7" t="str"/>
      <x:c r="X57" s="9" t="str">
        <x:v>Internal Sydney date. Estimate includes implementation, author checks and handoff; reviewer time is separately budgeted.</x:v>
      </x:c>
      <x:c r="Y57" s="12" t="n">
        <x:f>INT((M57-'Import Guide'!$B$3)/7)+1</x:f>
        <x:v>2</x:v>
      </x:c>
      <x:c r="Z57" s="12" t="str">
        <x:f>VLOOKUP(A57,'Dependencies'!$A$2:$G$224,7,FALSE)</x:f>
        <x:v>OK</x:v>
      </x:c>
      <x:c r="AA57" s="12" t="str">
        <x:f>IF(COUNTIFS('Milestones'!$A$2:$A$7,G57)&lt;&gt;1,"BAD GATE",IF(M57&lt;=VLOOKUP(G57,'Milestones'!$A$2:$C$7,3,FALSE),"OK","LATE"))</x:f>
        <x:v>OK</x:v>
      </x:c>
      <x:c r="AB57" s="12" t="n">
        <x:f>IF(OR(V57="Done",V57="Cut"),"",M57-TODAY())</x:f>
        <x:v>15</x:v>
      </x:c>
    </x:row>
    <x:row r="58" ht="90" customHeight="1">
      <x:c r="A58" s="7" t="str">
        <x:v>TEST-05</x:v>
      </x:c>
      <x:c r="B58" s="7" t="str">
        <x:v>Run five S3 and five S4 acceptance trials</x:v>
      </x:c>
      <x:c r="C58" s="9" t="str">
        <x:v>Roadside negative must not cause stop; persistent obstacle must hold for configured duration.</x:v>
      </x:c>
      <x:c r="D58" s="9" t="str">
        <x:v>S3 false stops 0 and slowdown within frozen threshold; S4 hold succeeds; route completion correctly N/A.</x:v>
      </x:c>
      <x:c r="E58" s="7" t="str">
        <x:v>Testing</x:v>
      </x:c>
      <x:c r="F58" s="7" t="str">
        <x:v>B</x:v>
      </x:c>
      <x:c r="G58" s="7" t="str">
        <x:v>G3</x:v>
      </x:c>
      <x:c r="H58" s="7" t="str">
        <x:v>P0 must</x:v>
      </x:c>
      <x:c r="I58" s="7" t="str">
        <x:v>Mohammad</x:v>
      </x:c>
      <x:c r="J58" s="7" t="str">
        <x:f>IF(VLOOKUP(I58,'Team'!$A$2:$B$7,2,FALSE)="","",VLOOKUP(I58,'Team'!$A$2:$B$7,2,FALSE))</x:f>
        <x:v>kkaaman</x:v>
      </x:c>
      <x:c r="K58" s="7" t="str">
        <x:v>Alan</x:v>
      </x:c>
      <x:c r="L58" s="10" t="n">
        <x:v>46318</x:v>
      </x:c>
      <x:c r="M58" s="10" t="n">
        <x:v>46318</x:v>
      </x:c>
      <x:c r="N58" s="11" t="n">
        <x:v>3</x:v>
      </x:c>
      <x:c r="O58" s="7" t="str">
        <x:v>BL-D-09,BL-C-07,BL-F-07,BL-B-07</x:v>
      </x:c>
      <x:c r="P58" s="7" t="str">
        <x:v>TEST-08, TEST-09, TEST-15, TEST-17</x:v>
      </x:c>
      <x:c r="Q58" s="7" t="str">
        <x:v>Y</x:v>
      </x:c>
      <x:c r="R58" s="7" t="str">
        <x:v>scripts/run_acceptance_suite.py</x:v>
      </x:c>
      <x:c r="S58" s="7" t="str">
        <x:v>S3/S4 acceptance evidence</x:v>
      </x:c>
      <x:c r="T58" s="7" t="str">
        <x:v>Evidence and limitations</x:v>
      </x:c>
      <x:c r="U58" s="7" t="str">
        <x:v>workstream:b;priority:p0;carla-required;category:testing</x:v>
      </x:c>
      <x:c r="V58" s="7" t="str">
        <x:v>Todo</x:v>
      </x:c>
      <x:c r="W58" s="7" t="str"/>
      <x:c r="X58" s="9" t="str">
        <x:v>Internal Sydney date. Estimate includes implementation, author checks and handoff; reviewer time is separately budgeted.</x:v>
      </x:c>
      <x:c r="Y58" s="12" t="n">
        <x:f>INT((M58-'Import Guide'!$B$3)/7)+1</x:f>
        <x:v>2</x:v>
      </x:c>
      <x:c r="Z58" s="12" t="str">
        <x:f>VLOOKUP(A58,'Dependencies'!$A$2:$G$224,7,FALSE)</x:f>
        <x:v>OK</x:v>
      </x:c>
      <x:c r="AA58" s="12" t="str">
        <x:f>IF(COUNTIFS('Milestones'!$A$2:$A$7,G58)&lt;&gt;1,"BAD GATE",IF(M58&lt;=VLOOKUP(G58,'Milestones'!$A$2:$C$7,3,FALSE),"OK","LATE"))</x:f>
        <x:v>OK</x:v>
      </x:c>
      <x:c r="AB58" s="12" t="n">
        <x:f>IF(OR(V58="Done",V58="Cut"),"",M58-TODAY())</x:f>
        <x:v>15</x:v>
      </x:c>
    </x:row>
    <x:row r="59" ht="90" customHeight="1">
      <x:c r="A59" s="7" t="str">
        <x:v>TEST-06</x:v>
      </x:c>
      <x:c r="B59" s="7" t="str">
        <x:v>Repeat five S0 trials with the complete perception stack</x:v>
      </x:c>
      <x:c r="C59" s="9" t="str">
        <x:v>Measure complete-stack route, CTE, speed and latency after integration.</x:v>
      </x:c>
      <x:c r="D59" s="9" t="str">
        <x:v>5/5 S0 completes with 0 false stops/collisions and thresholds met; per-tick outputs retained.</x:v>
      </x:c>
      <x:c r="E59" s="7" t="str">
        <x:v>Testing</x:v>
      </x:c>
      <x:c r="F59" s="7" t="str">
        <x:v>A</x:v>
      </x:c>
      <x:c r="G59" s="7" t="str">
        <x:v>G3</x:v>
      </x:c>
      <x:c r="H59" s="7" t="str">
        <x:v>P0 must</x:v>
      </x:c>
      <x:c r="I59" s="7" t="str">
        <x:v>Zhaolin</x:v>
      </x:c>
      <x:c r="J59" s="7" t="str">
        <x:f>IF(VLOOKUP(I59,'Team'!$A$2:$B$7,2,FALSE)="","",VLOOKUP(I59,'Team'!$A$2:$B$7,2,FALSE))</x:f>
      </x:c>
      <x:c r="K59" s="7" t="str">
        <x:v>Abdullah</x:v>
      </x:c>
      <x:c r="L59" s="10" t="n">
        <x:v>46318</x:v>
      </x:c>
      <x:c r="M59" s="10" t="n">
        <x:v>46318</x:v>
      </x:c>
      <x:c r="N59" s="11" t="n">
        <x:v>2.5</x:v>
      </x:c>
      <x:c r="O59" s="7" t="str">
        <x:v>BL-A-06,BL-F-07,BL-B-07</x:v>
      </x:c>
      <x:c r="P59" s="7" t="str">
        <x:v>TEST-08, TEST-09, TEST-10, RV-07, TEST-16</x:v>
      </x:c>
      <x:c r="Q59" s="7" t="str">
        <x:v>Y</x:v>
      </x:c>
      <x:c r="R59" s="7" t="str">
        <x:v>scripts/run_acceptance_suite.py</x:v>
      </x:c>
      <x:c r="S59" s="7" t="str">
        <x:v>Final baseline S0 evidence</x:v>
      </x:c>
      <x:c r="T59" s="7" t="str">
        <x:v>Evidence and limitations</x:v>
      </x:c>
      <x:c r="U59" s="7" t="str">
        <x:v>workstream:a;priority:p0;carla-required;category:testing</x:v>
      </x:c>
      <x:c r="V59" s="7" t="str">
        <x:v>Todo</x:v>
      </x:c>
      <x:c r="W59" s="7" t="str"/>
      <x:c r="X59" s="9" t="str">
        <x:v>Internal Sydney date. Estimate includes implementation, author checks and handoff; reviewer time is separately budgeted.</x:v>
      </x:c>
      <x:c r="Y59" s="12" t="n">
        <x:f>INT((M59-'Import Guide'!$B$3)/7)+1</x:f>
        <x:v>2</x:v>
      </x:c>
      <x:c r="Z59" s="12" t="str">
        <x:f>VLOOKUP(A59,'Dependencies'!$A$2:$G$224,7,FALSE)</x:f>
        <x:v>OK</x:v>
      </x:c>
      <x:c r="AA59" s="12" t="str">
        <x:f>IF(COUNTIFS('Milestones'!$A$2:$A$7,G59)&lt;&gt;1,"BAD GATE",IF(M59&lt;=VLOOKUP(G59,'Milestones'!$A$2:$C$7,3,FALSE),"OK","LATE"))</x:f>
        <x:v>OK</x:v>
      </x:c>
      <x:c r="AB59" s="12" t="n">
        <x:f>IF(OR(V59="Done",V59="Cut"),"",M59-TODAY())</x:f>
        <x:v>15</x:v>
      </x:c>
    </x:row>
    <x:row r="60" ht="90" customHeight="1">
      <x:c r="A60" s="7" t="str">
        <x:v>TEST-07</x:v>
      </x:c>
      <x:c r="B60" s="7" t="str">
        <x:v>Run five S5 bend-obstacle acceptance trials</x:v>
      </x:c>
      <x:c r="C60" s="9" t="str">
        <x:v>Place obstacle after bend with visibility and speed envelope recorded; no impossible short-range spawn.</x:v>
      </x:c>
      <x:c r="D60" s="9" t="str">
        <x:v>5/5 stop without collision within margin; curve governor slows before blind section where required.</x:v>
      </x:c>
      <x:c r="E60" s="7" t="str">
        <x:v>Testing</x:v>
      </x:c>
      <x:c r="F60" s="7" t="str">
        <x:v>E</x:v>
      </x:c>
      <x:c r="G60" s="7" t="str">
        <x:v>G3</x:v>
      </x:c>
      <x:c r="H60" s="7" t="str">
        <x:v>P0 must</x:v>
      </x:c>
      <x:c r="I60" s="7" t="str">
        <x:v>Abdullah</x:v>
      </x:c>
      <x:c r="J60" s="7" t="str">
        <x:f>IF(VLOOKUP(I60,'Team'!$A$2:$B$7,2,FALSE)="","",VLOOKUP(I60,'Team'!$A$2:$B$7,2,FALSE))</x:f>
      </x:c>
      <x:c r="K60" s="7" t="str">
        <x:v>Zhaolin</x:v>
      </x:c>
      <x:c r="L60" s="10" t="n">
        <x:v>46318</x:v>
      </x:c>
      <x:c r="M60" s="10" t="n">
        <x:v>46318</x:v>
      </x:c>
      <x:c r="N60" s="11" t="n">
        <x:v>2.5</x:v>
      </x:c>
      <x:c r="O60" s="7" t="str">
        <x:v>BL-D-09,BL-C-07,BL-F-07,BL-B-07</x:v>
      </x:c>
      <x:c r="P60" s="7" t="str">
        <x:v>TEST-08, TEST-09, TEST-10</x:v>
      </x:c>
      <x:c r="Q60" s="7" t="str">
        <x:v>Y</x:v>
      </x:c>
      <x:c r="R60" s="7" t="str">
        <x:v>configs/scenarios/S5.yaml</x:v>
      </x:c>
      <x:c r="S60" s="7" t="str">
        <x:v>S5 acceptance evidence</x:v>
      </x:c>
      <x:c r="T60" s="7" t="str">
        <x:v>Evidence and limitations</x:v>
      </x:c>
      <x:c r="U60" s="7" t="str">
        <x:v>workstream:e;priority:p0;carla-required;category:testing</x:v>
      </x:c>
      <x:c r="V60" s="7" t="str">
        <x:v>Todo</x:v>
      </x:c>
      <x:c r="W60" s="7" t="str"/>
      <x:c r="X60" s="9" t="str">
        <x:v>Internal Sydney date. Estimate includes implementation, author checks and handoff; reviewer time is separately budgeted.</x:v>
      </x:c>
      <x:c r="Y60" s="12" t="n">
        <x:f>INT((M60-'Import Guide'!$B$3)/7)+1</x:f>
        <x:v>2</x:v>
      </x:c>
      <x:c r="Z60" s="12" t="str">
        <x:f>VLOOKUP(A60,'Dependencies'!$A$2:$G$224,7,FALSE)</x:f>
        <x:v>OK</x:v>
      </x:c>
      <x:c r="AA60" s="12" t="str">
        <x:f>IF(COUNTIFS('Milestones'!$A$2:$A$7,G60)&lt;&gt;1,"BAD GATE",IF(M60&lt;=VLOOKUP(G60,'Milestones'!$A$2:$C$7,3,FALSE),"OK","LATE"))</x:f>
        <x:v>OK</x:v>
      </x:c>
      <x:c r="AB60" s="12" t="n">
        <x:f>IF(OR(V60="Done",V60="Cut"),"",M60-TODAY())</x:f>
        <x:v>15</x:v>
      </x:c>
    </x:row>
    <x:row r="61" ht="90" customHeight="1">
      <x:c r="A61" s="7" t="str">
        <x:v>TEST-08</x:v>
      </x:c>
      <x:c r="B61" s="7" t="str">
        <x:v>Aggregate all 30 baseline runs and fault tests</x:v>
      </x:c>
      <x:c r="C61" s="9" t="str">
        <x:v>Check per-run metrics, counts and uncertainty; retain failed attempts and failures per scenario.</x:v>
      </x:c>
      <x:c r="D61" s="9" t="str">
        <x:v>Summary covers every metric and all 30 runs; route percentage never substituted for safe completion.</x:v>
      </x:c>
      <x:c r="E61" s="7" t="str">
        <x:v>Testing</x:v>
      </x:c>
      <x:c r="F61" s="7" t="str">
        <x:v>F</x:v>
      </x:c>
      <x:c r="G61" s="7" t="str">
        <x:v>G3</x:v>
      </x:c>
      <x:c r="H61" s="7" t="str">
        <x:v>P0 must</x:v>
      </x:c>
      <x:c r="I61" s="7" t="str">
        <x:v>Saviour</x:v>
      </x:c>
      <x:c r="J61" s="7" t="str">
        <x:f>IF(VLOOKUP(I61,'Team'!$A$2:$B$7,2,FALSE)="","",VLOOKUP(I61,'Team'!$A$2:$B$7,2,FALSE))</x:f>
      </x:c>
      <x:c r="K61" s="7" t="str">
        <x:v>Ricky</x:v>
      </x:c>
      <x:c r="L61" s="10" t="n">
        <x:v>46319</x:v>
      </x:c>
      <x:c r="M61" s="10" t="n">
        <x:v>46319</x:v>
      </x:c>
      <x:c r="N61" s="11" t="n">
        <x:v>2.5</x:v>
      </x:c>
      <x:c r="O61" s="7" t="str">
        <x:v>TEST-04,TEST-05,TEST-06,TEST-07</x:v>
      </x:c>
      <x:c r="P61" s="7" t="str">
        <x:v>G3-01, DOC-04</x:v>
      </x:c>
      <x:c r="Q61" s="7" t="str">
        <x:v>N</x:v>
      </x:c>
      <x:c r="R61" s="7" t="str">
        <x:v>scripts/evaluate_runs.py; docs/results/</x:v>
      </x:c>
      <x:c r="S61" s="7" t="str">
        <x:v>Baseline table and failure log</x:v>
      </x:c>
      <x:c r="T61" s="7" t="str">
        <x:v>Evidence and limitations</x:v>
      </x:c>
      <x:c r="U61" s="7" t="str">
        <x:v>workstream:f;priority:p0;category:testing</x:v>
      </x:c>
      <x:c r="V61" s="7" t="str">
        <x:v>Todo</x:v>
      </x:c>
      <x:c r="W61" s="7" t="str"/>
      <x:c r="X61" s="9" t="str">
        <x:v>Internal Sydney date. Estimate includes implementation, author checks and handoff; reviewer time is separately budgeted.</x:v>
      </x:c>
      <x:c r="Y61" s="12" t="n">
        <x:f>INT((M61-'Import Guide'!$B$3)/7)+1</x:f>
        <x:v>2</x:v>
      </x:c>
      <x:c r="Z61" s="12" t="str">
        <x:f>VLOOKUP(A61,'Dependencies'!$A$2:$G$224,7,FALSE)</x:f>
        <x:v>OK</x:v>
      </x:c>
      <x:c r="AA61" s="12" t="str">
        <x:f>IF(COUNTIFS('Milestones'!$A$2:$A$7,G61)&lt;&gt;1,"BAD GATE",IF(M61&lt;=VLOOKUP(G61,'Milestones'!$A$2:$C$7,3,FALSE),"OK","LATE"))</x:f>
        <x:v>OK</x:v>
      </x:c>
      <x:c r="AB61" s="12" t="n">
        <x:f>IF(OR(V61="Done",V61="Cut"),"",M61-TODAY())</x:f>
        <x:v>16</x:v>
      </x:c>
    </x:row>
    <x:row r="62" ht="90" customHeight="1">
      <x:c r="A62" s="7" t="str">
        <x:v>TEST-09</x:v>
      </x:c>
      <x:c r="B62" s="7" t="str">
        <x:v>Audit held-out detections and false-stop evidence</x:v>
      </x:c>
      <x:c r="C62" s="9" t="str">
        <x:v>Evaluate scene-level held-out splits; report car/person recall and first-confirmed detection range.</x:v>
      </x:c>
      <x:c r="D62" s="9" t="str">
        <x:v>No tuning/test-frame leakage; false negatives, invalid depth and confidence limits documented.</x:v>
      </x:c>
      <x:c r="E62" s="7" t="str">
        <x:v>Testing</x:v>
      </x:c>
      <x:c r="F62" s="7" t="str">
        <x:v>C</x:v>
      </x:c>
      <x:c r="G62" s="7" t="str">
        <x:v>G3</x:v>
      </x:c>
      <x:c r="H62" s="7" t="str">
        <x:v>P0 must</x:v>
      </x:c>
      <x:c r="I62" s="7" t="str">
        <x:v>Ricky</x:v>
      </x:c>
      <x:c r="J62" s="7" t="str">
        <x:f>IF(VLOOKUP(I62,'Team'!$A$2:$B$7,2,FALSE)="","",VLOOKUP(I62,'Team'!$A$2:$B$7,2,FALSE))</x:f>
      </x:c>
      <x:c r="K62" s="7" t="str">
        <x:v>Saviour</x:v>
      </x:c>
      <x:c r="L62" s="10" t="n">
        <x:v>46319</x:v>
      </x:c>
      <x:c r="M62" s="10" t="n">
        <x:v>46319</x:v>
      </x:c>
      <x:c r="N62" s="11" t="n">
        <x:v>2</x:v>
      </x:c>
      <x:c r="O62" s="7" t="str">
        <x:v>TEST-04,TEST-05,TEST-06,TEST-07</x:v>
      </x:c>
      <x:c r="P62" s="7" t="str">
        <x:v>G3-01, E1-03, DOC-04, DOC-17</x:v>
      </x:c>
      <x:c r="Q62" s="7" t="str">
        <x:v>N</x:v>
      </x:c>
      <x:c r="R62" s="7" t="str">
        <x:v>docs/results/perception.md</x:v>
      </x:c>
      <x:c r="S62" s="7" t="str">
        <x:v>Perception precision/recall and range figure</x:v>
      </x:c>
      <x:c r="T62" s="7" t="str">
        <x:v>Evidence and limitations</x:v>
      </x:c>
      <x:c r="U62" s="7" t="str">
        <x:v>workstream:c;priority:p0;category:testing</x:v>
      </x:c>
      <x:c r="V62" s="7" t="str">
        <x:v>Todo</x:v>
      </x:c>
      <x:c r="W62" s="7" t="str"/>
      <x:c r="X62" s="9" t="str">
        <x:v>Internal Sydney date. Estimate includes implementation, author checks and handoff; reviewer time is separately budgeted.</x:v>
      </x:c>
      <x:c r="Y62" s="12" t="n">
        <x:f>INT((M62-'Import Guide'!$B$3)/7)+1</x:f>
        <x:v>2</x:v>
      </x:c>
      <x:c r="Z62" s="12" t="str">
        <x:f>VLOOKUP(A62,'Dependencies'!$A$2:$G$224,7,FALSE)</x:f>
        <x:v>OK</x:v>
      </x:c>
      <x:c r="AA62" s="12" t="str">
        <x:f>IF(COUNTIFS('Milestones'!$A$2:$A$7,G62)&lt;&gt;1,"BAD GATE",IF(M62&lt;=VLOOKUP(G62,'Milestones'!$A$2:$C$7,3,FALSE),"OK","LATE"))</x:f>
        <x:v>OK</x:v>
      </x:c>
      <x:c r="AB62" s="12" t="n">
        <x:f>IF(OR(V62="Done",V62="Cut"),"",M62-TODAY())</x:f>
        <x:v>16</x:v>
      </x:c>
    </x:row>
    <x:row r="63" ht="90" customHeight="1">
      <x:c r="A63" s="7" t="str">
        <x:v>TEST-10</x:v>
      </x:c>
      <x:c r="B63" s="7" t="str">
        <x:v>Close integration defects and rerun affected scenarios</x:v>
      </x:c>
      <x:c r="C63" s="9" t="str">
        <x:v>Use reserved time only for reproduced failures; rerun all affected trials on final candidate commit.</x:v>
      </x:c>
      <x:c r="D63" s="9" t="str">
        <x:v>No unresolved P0 defect; rerun evidence tied to candidate hash, or gate explicitly blocked.</x:v>
      </x:c>
      <x:c r="E63" s="7" t="str">
        <x:v>Testing</x:v>
      </x:c>
      <x:c r="F63" s="7" t="str">
        <x:v>E</x:v>
      </x:c>
      <x:c r="G63" s="7" t="str">
        <x:v>G3</x:v>
      </x:c>
      <x:c r="H63" s="7" t="str">
        <x:v>P0 must</x:v>
      </x:c>
      <x:c r="I63" s="7" t="str">
        <x:v>Abdullah</x:v>
      </x:c>
      <x:c r="J63" s="7" t="str">
        <x:f>IF(VLOOKUP(I63,'Team'!$A$2:$B$7,2,FALSE)="","",VLOOKUP(I63,'Team'!$A$2:$B$7,2,FALSE))</x:f>
      </x:c>
      <x:c r="K63" s="7" t="str">
        <x:v>Zhaolin</x:v>
      </x:c>
      <x:c r="L63" s="10" t="n">
        <x:v>46319</x:v>
      </x:c>
      <x:c r="M63" s="10" t="n">
        <x:v>46319</x:v>
      </x:c>
      <x:c r="N63" s="11" t="n">
        <x:v>2</x:v>
      </x:c>
      <x:c r="O63" s="7" t="str">
        <x:v>TEST-07,TEST-06</x:v>
      </x:c>
      <x:c r="P63" s="7" t="str">
        <x:v>G3-01, TEST-22</x:v>
      </x:c>
      <x:c r="Q63" s="7" t="str">
        <x:v>Y</x:v>
      </x:c>
      <x:c r="R63" s="7" t="str">
        <x:v>src/autonomy/; docs/gates/G3.md</x:v>
      </x:c>
      <x:c r="S63" s="7" t="str">
        <x:v>Candidate regression log</x:v>
      </x:c>
      <x:c r="T63" s="7" t="str">
        <x:v>Evidence and limitations</x:v>
      </x:c>
      <x:c r="U63" s="7" t="str">
        <x:v>workstream:e;priority:p0;carla-required;category:testing</x:v>
      </x:c>
      <x:c r="V63" s="7" t="str">
        <x:v>Todo</x:v>
      </x:c>
      <x:c r="W63" s="7" t="str"/>
      <x:c r="X63" s="9" t="str">
        <x:v>Internal Sydney date. Estimate includes implementation, author checks and handoff; reviewer time is separately budgeted.</x:v>
      </x:c>
      <x:c r="Y63" s="12" t="n">
        <x:f>INT((M63-'Import Guide'!$B$3)/7)+1</x:f>
        <x:v>2</x:v>
      </x:c>
      <x:c r="Z63" s="12" t="str">
        <x:f>VLOOKUP(A63,'Dependencies'!$A$2:$G$224,7,FALSE)</x:f>
        <x:v>OK</x:v>
      </x:c>
      <x:c r="AA63" s="12" t="str">
        <x:f>IF(COUNTIFS('Milestones'!$A$2:$A$7,G63)&lt;&gt;1,"BAD GATE",IF(M63&lt;=VLOOKUP(G63,'Milestones'!$A$2:$C$7,3,FALSE),"OK","LATE"))</x:f>
        <x:v>OK</x:v>
      </x:c>
      <x:c r="AB63" s="12" t="n">
        <x:f>IF(OR(V63="Done",V63="Cut"),"",M63-TODAY())</x:f>
        <x:v>16</x:v>
      </x:c>
    </x:row>
    <x:row r="64" ht="90" customHeight="1">
      <x:c r="A64" s="7" t="str">
        <x:v>G3-01</x:v>
      </x:c>
      <x:c r="B64" s="7" t="str">
        <x:v>Freeze baseline and make extension admission decisions</x:v>
      </x:c>
      <x:c r="C64" s="9" t="str">
        <x:v>Tag passing baseline; if any threshold fails, consume extension time and document conditional status.</x:v>
      </x:c>
      <x:c r="D64" s="9" t="str">
        <x:v>All mandatory criteria actually pass before baseline claimed working; immutable config and tag recorded.</x:v>
      </x:c>
      <x:c r="E64" s="7" t="str">
        <x:v>Process</x:v>
      </x:c>
      <x:c r="F64" s="7" t="str">
        <x:v>D</x:v>
      </x:c>
      <x:c r="G64" s="7" t="str">
        <x:v>G3</x:v>
      </x:c>
      <x:c r="H64" s="7" t="str">
        <x:v>P0 must</x:v>
      </x:c>
      <x:c r="I64" s="7" t="str">
        <x:v>Alan</x:v>
      </x:c>
      <x:c r="J64" s="7" t="str">
        <x:f>IF(VLOOKUP(I64,'Team'!$A$2:$B$7,2,FALSE)="","",VLOOKUP(I64,'Team'!$A$2:$B$7,2,FALSE))</x:f>
      </x:c>
      <x:c r="K64" s="7" t="str">
        <x:v>Mohammad</x:v>
      </x:c>
      <x:c r="L64" s="10" t="n">
        <x:v>46320</x:v>
      </x:c>
      <x:c r="M64" s="10" t="n">
        <x:v>46320</x:v>
      </x:c>
      <x:c r="N64" s="11" t="n">
        <x:v>1.5</x:v>
      </x:c>
      <x:c r="O64" s="7" t="str">
        <x:v>TEST-08,TEST-09,TEST-10,TEST-15,TEST-16,TEST-17,TEST-22</x:v>
      </x:c>
      <x:c r="P64" s="7" t="str">
        <x:v>E1-04, E2-05, E3-04, E4-10, E4-11, E5-06, TEST-11, TEST-18</x:v>
      </x:c>
      <x:c r="Q64" s="7" t="str">
        <x:v>N</x:v>
      </x:c>
      <x:c r="R64" s="7" t="str">
        <x:v>docs/gates/G3.md; configs/release.yaml</x:v>
      </x:c>
      <x:c r="S64" s="7" t="str">
        <x:v>Baseline release decision</x:v>
      </x:c>
      <x:c r="T64" s="7" t="str">
        <x:v>Scope and rationale</x:v>
      </x:c>
      <x:c r="U64" s="7" t="str">
        <x:v>workstream:d;priority:p0;category:process</x:v>
      </x:c>
      <x:c r="V64" s="7" t="str">
        <x:v>Todo</x:v>
      </x:c>
      <x:c r="W64" s="7" t="str"/>
      <x:c r="X64" s="9" t="str">
        <x:v>Internal Sydney date. Estimate includes implementation, author checks and handoff; reviewer time is separately budgeted. Same-day handoff: complete/review TEST-17 before starting this task. Same-day handoff: complete/review TEST-22 before starting this task.</x:v>
      </x:c>
      <x:c r="Y64" s="12" t="n">
        <x:f>INT((M64-'Import Guide'!$B$3)/7)+1</x:f>
        <x:v>2</x:v>
      </x:c>
      <x:c r="Z64" s="12" t="str">
        <x:f>VLOOKUP(A64,'Dependencies'!$A$2:$G$224,7,FALSE)</x:f>
        <x:v>OK</x:v>
      </x:c>
      <x:c r="AA64" s="12" t="str">
        <x:f>IF(COUNTIFS('Milestones'!$A$2:$A$7,G64)&lt;&gt;1,"BAD GATE",IF(M64&lt;=VLOOKUP(G64,'Milestones'!$A$2:$C$7,3,FALSE),"OK","LATE"))</x:f>
        <x:v>OK</x:v>
      </x:c>
      <x:c r="AB64" s="12" t="n">
        <x:f>IF(OR(V64="Done",V64="Cut"),"",M64-TODAY())</x:f>
        <x:v>17</x:v>
      </x:c>
    </x:row>
    <x:row r="65" ht="90" customHeight="1">
      <x:c r="A65" s="7" t="str">
        <x:v>RV-07</x:v>
      </x:c>
      <x:c r="B65" s="7" t="str">
        <x:v>Archive A1 demos and document endpoint braking</x:v>
      </x:c>
      <x:c r="C65" s="9" t="str">
        <x:v>Move loose demos to examples/a1 with wrappers; explain continuous path rationale and forward-only controller.</x:v>
      </x:c>
      <x:c r="D65" s="9" t="str">
        <x:v>Public imports/examples preserved; no direct CARLA dependency outside adapter, including archived wrappers.</x:v>
      </x:c>
      <x:c r="E65" s="7" t="str">
        <x:v>A1 Revamp</x:v>
      </x:c>
      <x:c r="F65" s="7" t="str">
        <x:v>A</x:v>
      </x:c>
      <x:c r="G65" s="7" t="str">
        <x:v>G3</x:v>
      </x:c>
      <x:c r="H65" s="7" t="str">
        <x:v>P1 should</x:v>
      </x:c>
      <x:c r="I65" s="7" t="str">
        <x:v>Zhaolin</x:v>
      </x:c>
      <x:c r="J65" s="7" t="str">
        <x:f>IF(VLOOKUP(I65,'Team'!$A$2:$B$7,2,FALSE)="","",VLOOKUP(I65,'Team'!$A$2:$B$7,2,FALSE))</x:f>
      </x:c>
      <x:c r="K65" s="7" t="str">
        <x:v>Abdullah</x:v>
      </x:c>
      <x:c r="L65" s="10" t="n">
        <x:v>46319</x:v>
      </x:c>
      <x:c r="M65" s="10" t="n">
        <x:v>46319</x:v>
      </x:c>
      <x:c r="N65" s="11" t="n">
        <x:v>1.5</x:v>
      </x:c>
      <x:c r="O65" s="7" t="str">
        <x:v>TEST-06</x:v>
      </x:c>
      <x:c r="P65" s="7" t="str">
        <x:v>DOC-05, DOC-11</x:v>
      </x:c>
      <x:c r="Q65" s="7" t="str">
        <x:v>N</x:v>
      </x:c>
      <x:c r="R65" s="7" t="str">
        <x:v>examples/a1/; docs/navigation.md</x:v>
      </x:c>
      <x:c r="S65" s="7" t="str">
        <x:v>Migration checklist</x:v>
      </x:c>
      <x:c r="T65" s="7" t="str">
        <x:v>Extension and design decisions</x:v>
      </x:c>
      <x:c r="U65" s="7" t="str">
        <x:v>workstream:a;priority:p1;category:a1-revamp</x:v>
      </x:c>
      <x:c r="V65" s="7" t="str">
        <x:v>Todo</x:v>
      </x:c>
      <x:c r="W65" s="7" t="str"/>
      <x:c r="X65" s="9" t="str">
        <x:v>Internal Sydney date. Estimate includes implementation, author checks and handoff; reviewer time is separately budgeted.</x:v>
      </x:c>
      <x:c r="Y65" s="12" t="n">
        <x:f>INT((M65-'Import Guide'!$B$3)/7)+1</x:f>
        <x:v>2</x:v>
      </x:c>
      <x:c r="Z65" s="12" t="str">
        <x:f>VLOOKUP(A65,'Dependencies'!$A$2:$G$224,7,FALSE)</x:f>
        <x:v>OK</x:v>
      </x:c>
      <x:c r="AA65" s="12" t="str">
        <x:f>IF(COUNTIFS('Milestones'!$A$2:$A$7,G65)&lt;&gt;1,"BAD GATE",IF(M65&lt;=VLOOKUP(G65,'Milestones'!$A$2:$C$7,3,FALSE),"OK","LATE"))</x:f>
        <x:v>OK</x:v>
      </x:c>
      <x:c r="AB65" s="12" t="n">
        <x:f>IF(OR(V65="Done",V65="Cut"),"",M65-TODAY())</x:f>
        <x:v>16</x:v>
      </x:c>
    </x:row>
    <x:row r="66" ht="90" customHeight="1">
      <x:c r="A66" s="7" t="str">
        <x:v>RV-08</x:v>
      </x:c>
      <x:c r="B66" s="7" t="str">
        <x:v>Document sensor rig, segmentation tradeoff and lifecycle</x:v>
      </x:c>
      <x:c r="C66" s="9" t="str">
        <x:v>Describe frame matching, weather limits, calibration and segmentation cadence; update module docstrings.</x:v>
      </x:c>
      <x:c r="D66" s="9" t="str">
        <x:v>Sensor/segmentation Sphinx pages build; every new public function documented with units and validity rules.</x:v>
      </x:c>
      <x:c r="E66" s="7" t="str">
        <x:v>A1 Revamp</x:v>
      </x:c>
      <x:c r="F66" s="7" t="str">
        <x:v>B</x:v>
      </x:c>
      <x:c r="G66" s="7" t="str">
        <x:v>G3</x:v>
      </x:c>
      <x:c r="H66" s="7" t="str">
        <x:v>P1 should</x:v>
      </x:c>
      <x:c r="I66" s="7" t="str">
        <x:v>Mohammad</x:v>
      </x:c>
      <x:c r="J66" s="7" t="str">
        <x:f>IF(VLOOKUP(I66,'Team'!$A$2:$B$7,2,FALSE)="","",VLOOKUP(I66,'Team'!$A$2:$B$7,2,FALSE))</x:f>
        <x:v>kkaaman</x:v>
      </x:c>
      <x:c r="K66" s="7" t="str">
        <x:v>Alan</x:v>
      </x:c>
      <x:c r="L66" s="10" t="n">
        <x:v>46319</x:v>
      </x:c>
      <x:c r="M66" s="10" t="n">
        <x:v>46319</x:v>
      </x:c>
      <x:c r="N66" s="11" t="n">
        <x:v>2</x:v>
      </x:c>
      <x:c r="O66" s="7" t="str">
        <x:v>BL-B-05,BL-B-07</x:v>
      </x:c>
      <x:c r="P66" s="7" t="str">
        <x:v>DOC-05, TEST-17</x:v>
      </x:c>
      <x:c r="Q66" s="7" t="str">
        <x:v>N</x:v>
      </x:c>
      <x:c r="R66" s="7" t="str">
        <x:v>docs/sensors.md; docs/segmentation.md</x:v>
      </x:c>
      <x:c r="S66" s="7" t="str">
        <x:v>Generated documentation checks</x:v>
      </x:c>
      <x:c r="T66" s="7" t="str">
        <x:v>Extension and design decisions</x:v>
      </x:c>
      <x:c r="U66" s="7" t="str">
        <x:v>workstream:b;priority:p1;category:a1-revamp</x:v>
      </x:c>
      <x:c r="V66" s="7" t="str">
        <x:v>Todo</x:v>
      </x:c>
      <x:c r="W66" s="7" t="str"/>
      <x:c r="X66" s="9" t="str">
        <x:v>Internal Sydney date. Estimate includes implementation, author checks and handoff; reviewer time is separately budgeted.</x:v>
      </x:c>
      <x:c r="Y66" s="12" t="n">
        <x:f>INT((M66-'Import Guide'!$B$3)/7)+1</x:f>
        <x:v>2</x:v>
      </x:c>
      <x:c r="Z66" s="12" t="str">
        <x:f>VLOOKUP(A66,'Dependencies'!$A$2:$G$224,7,FALSE)</x:f>
        <x:v>OK</x:v>
      </x:c>
      <x:c r="AA66" s="12" t="str">
        <x:f>IF(COUNTIFS('Milestones'!$A$2:$A$7,G66)&lt;&gt;1,"BAD GATE",IF(M66&lt;=VLOOKUP(G66,'Milestones'!$A$2:$C$7,3,FALSE),"OK","LATE"))</x:f>
        <x:v>OK</x:v>
      </x:c>
      <x:c r="AB66" s="12" t="n">
        <x:f>IF(OR(V66="Done",V66="Cut"),"",M66-TODAY())</x:f>
        <x:v>16</x:v>
      </x:c>
    </x:row>
    <x:row r="67" ht="90" customHeight="1">
      <x:c r="A67" s="7" t="str">
        <x:v>E1-01</x:v>
      </x:c>
      <x:c r="B67" s="7" t="str">
        <x:v>Define three weather presets and robustness matrix</x:v>
      </x:c>
      <x:c r="C67" s="9" t="str">
        <x:v>Choose ClearNoon, HardRainNoon and ClearNight subject to installed-version verification; specify headlights and seeds.</x:v>
      </x:c>
      <x:c r="D67" s="9" t="str">
        <x:v>Schema holds all weather/light settings; planned S0-S2 by 3 conditions by 3 repetitions is explicit.</x:v>
      </x:c>
      <x:c r="E67" s="7" t="str">
        <x:v>Extension</x:v>
      </x:c>
      <x:c r="F67" s="7" t="str">
        <x:v>E1</x:v>
      </x:c>
      <x:c r="G67" s="7" t="str">
        <x:v>G1</x:v>
      </x:c>
      <x:c r="H67" s="7" t="str">
        <x:v>P1 should</x:v>
      </x:c>
      <x:c r="I67" s="7" t="str">
        <x:v>Alan</x:v>
      </x:c>
      <x:c r="J67" s="7" t="str">
        <x:f>IF(VLOOKUP(I67,'Team'!$A$2:$B$7,2,FALSE)="","",VLOOKUP(I67,'Team'!$A$2:$B$7,2,FALSE))</x:f>
      </x:c>
      <x:c r="K67" s="7" t="str">
        <x:v>Mohammad</x:v>
      </x:c>
      <x:c r="L67" s="10" t="n">
        <x:v>46313</x:v>
      </x:c>
      <x:c r="M67" s="10" t="n">
        <x:v>46313</x:v>
      </x:c>
      <x:c r="N67" s="11" t="n">
        <x:v>2</x:v>
      </x:c>
      <x:c r="O67" s="7" t="str">
        <x:v>BL-D-06</x:v>
      </x:c>
      <x:c r="P67" s="7" t="str">
        <x:v>E1-02</x:v>
      </x:c>
      <x:c r="Q67" s="7" t="str">
        <x:v>N</x:v>
      </x:c>
      <x:c r="R67" s="7" t="str">
        <x:v>configs/weather/; docs/weather.md</x:v>
      </x:c>
      <x:c r="S67" s="7" t="str">
        <x:v>Weather experiment specification</x:v>
      </x:c>
      <x:c r="T67" s="7" t="str">
        <x:v>Extension and design decisions</x:v>
      </x:c>
      <x:c r="U67" s="7" t="str">
        <x:v>extension:e1;priority:p1;category:extension</x:v>
      </x:c>
      <x:c r="V67" s="7" t="str">
        <x:v>Todo</x:v>
      </x:c>
      <x:c r="W67" s="7" t="str"/>
      <x:c r="X67" s="9" t="str">
        <x:v>Internal Sydney date. Estimate includes implementation, author checks and handoff; reviewer time is separately budgeted.</x:v>
      </x:c>
      <x:c r="Y67" s="12" t="n">
        <x:f>INT((M67-'Import Guide'!$B$3)/7)+1</x:f>
        <x:v>1</x:v>
      </x:c>
      <x:c r="Z67" s="12" t="str">
        <x:f>VLOOKUP(A67,'Dependencies'!$A$2:$G$224,7,FALSE)</x:f>
        <x:v>OK</x:v>
      </x:c>
      <x:c r="AA67" s="12" t="str">
        <x:f>IF(COUNTIFS('Milestones'!$A$2:$A$7,G67)&lt;&gt;1,"BAD GATE",IF(M67&lt;=VLOOKUP(G67,'Milestones'!$A$2:$C$7,3,FALSE),"OK","LATE"))</x:f>
        <x:v>OK</x:v>
      </x:c>
      <x:c r="AB67" s="12" t="n">
        <x:f>IF(OR(V67="Done",V67="Cut"),"",M67-TODAY())</x:f>
        <x:v>10</x:v>
      </x:c>
    </x:row>
    <x:row r="68" ht="90" customHeight="1">
      <x:c r="A68" s="7" t="str">
        <x:v>E1-02</x:v>
      </x:c>
      <x:c r="B68" s="7" t="str">
        <x:v>Verify weather presets and collect labelled stress frames</x:v>
      </x:c>
      <x:c r="C68" s="9" t="str">
        <x:v>Check installed attributes; headlights at night; capture same scenes across presets without changing model tuning split.</x:v>
      </x:c>
      <x:c r="D68" s="9" t="str">
        <x:v>Offline dataset covers all conditions; record whether depth/LiDAR weather effects are actually observed.</x:v>
      </x:c>
      <x:c r="E68" s="7" t="str">
        <x:v>Extension</x:v>
      </x:c>
      <x:c r="F68" s="7" t="str">
        <x:v>E1</x:v>
      </x:c>
      <x:c r="G68" s="7" t="str">
        <x:v>G2</x:v>
      </x:c>
      <x:c r="H68" s="7" t="str">
        <x:v>P1 should</x:v>
      </x:c>
      <x:c r="I68" s="7" t="str">
        <x:v>Alan</x:v>
      </x:c>
      <x:c r="J68" s="7" t="str">
        <x:f>IF(VLOOKUP(I68,'Team'!$A$2:$B$7,2,FALSE)="","",VLOOKUP(I68,'Team'!$A$2:$B$7,2,FALSE))</x:f>
      </x:c>
      <x:c r="K68" s="7" t="str">
        <x:v>Mohammad</x:v>
      </x:c>
      <x:c r="L68" s="10" t="n">
        <x:v>46315</x:v>
      </x:c>
      <x:c r="M68" s="10" t="n">
        <x:v>46315</x:v>
      </x:c>
      <x:c r="N68" s="11" t="n">
        <x:v>2</x:v>
      </x:c>
      <x:c r="O68" s="7" t="str">
        <x:v>E1-01,BL-B-06</x:v>
      </x:c>
      <x:c r="P68" s="7" t="str">
        <x:v>E1-03, E1-04</x:v>
      </x:c>
      <x:c r="Q68" s="7" t="str">
        <x:v>Y</x:v>
      </x:c>
      <x:c r="R68" s="7" t="str">
        <x:v>scripts/capture_frames.py; carla_adapter/scenario.py</x:v>
      </x:c>
      <x:c r="S68" s="7" t="str">
        <x:v>Weather samples and verification log</x:v>
      </x:c>
      <x:c r="T68" s="7" t="str">
        <x:v>Extension and design decisions</x:v>
      </x:c>
      <x:c r="U68" s="7" t="str">
        <x:v>extension:e1;priority:p1;carla-required;category:extension</x:v>
      </x:c>
      <x:c r="V68" s="7" t="str">
        <x:v>Todo</x:v>
      </x:c>
      <x:c r="W68" s="7" t="str"/>
      <x:c r="X68" s="9" t="str">
        <x:v>Internal Sydney date. Estimate includes implementation, author checks and handoff; reviewer time is separately budgeted.</x:v>
      </x:c>
      <x:c r="Y68" s="12" t="n">
        <x:f>INT((M68-'Import Guide'!$B$3)/7)+1</x:f>
        <x:v>2</x:v>
      </x:c>
      <x:c r="Z68" s="12" t="str">
        <x:f>VLOOKUP(A68,'Dependencies'!$A$2:$G$224,7,FALSE)</x:f>
        <x:v>OK</x:v>
      </x:c>
      <x:c r="AA68" s="12" t="str">
        <x:f>IF(COUNTIFS('Milestones'!$A$2:$A$7,G68)&lt;&gt;1,"BAD GATE",IF(M68&lt;=VLOOKUP(G68,'Milestones'!$A$2:$C$7,3,FALSE),"OK","LATE"))</x:f>
        <x:v>OK</x:v>
      </x:c>
      <x:c r="AB68" s="12" t="n">
        <x:f>IF(OR(V68="Done",V68="Cut"),"",M68-TODAY())</x:f>
        <x:v>12</x:v>
      </x:c>
    </x:row>
    <x:row r="69" ht="90" customHeight="1">
      <x:c r="A69" s="7" t="str">
        <x:v>E1-03</x:v>
      </x:c>
      <x:c r="B69" s="7" t="str">
        <x:v>Measure detection range and recall across weather</x:v>
      </x:c>
      <x:c r="C69" s="9" t="str">
        <x:v>Compare per-class recall and first-confirmed detection distance on frozen settings.</x:v>
      </x:c>
      <x:c r="D69" s="9" t="str">
        <x:v>Three-condition table has denominators and failures; no robustness claim based only on visual quality.</x:v>
      </x:c>
      <x:c r="E69" s="7" t="str">
        <x:v>Extension</x:v>
      </x:c>
      <x:c r="F69" s="7" t="str">
        <x:v>E1</x:v>
      </x:c>
      <x:c r="G69" s="7" t="str">
        <x:v>G3</x:v>
      </x:c>
      <x:c r="H69" s="7" t="str">
        <x:v>P1 should</x:v>
      </x:c>
      <x:c r="I69" s="7" t="str">
        <x:v>Ricky</x:v>
      </x:c>
      <x:c r="J69" s="7" t="str">
        <x:f>IF(VLOOKUP(I69,'Team'!$A$2:$B$7,2,FALSE)="","",VLOOKUP(I69,'Team'!$A$2:$B$7,2,FALSE))</x:f>
      </x:c>
      <x:c r="K69" s="7" t="str">
        <x:v>Saviour</x:v>
      </x:c>
      <x:c r="L69" s="10" t="n">
        <x:v>46319</x:v>
      </x:c>
      <x:c r="M69" s="10" t="n">
        <x:v>46319</x:v>
      </x:c>
      <x:c r="N69" s="11" t="n">
        <x:v>2</x:v>
      </x:c>
      <x:c r="O69" s="7" t="str">
        <x:v>E1-02,TEST-09</x:v>
      </x:c>
      <x:c r="P69" s="7" t="str">
        <x:v>E1-04, DOC-06</x:v>
      </x:c>
      <x:c r="Q69" s="7" t="str">
        <x:v>N</x:v>
      </x:c>
      <x:c r="R69" s="7" t="str">
        <x:v>scripts/evaluate_weather.py</x:v>
      </x:c>
      <x:c r="S69" s="7" t="str">
        <x:v>Weather perception table</x:v>
      </x:c>
      <x:c r="T69" s="7" t="str">
        <x:v>Extension and design decisions</x:v>
      </x:c>
      <x:c r="U69" s="7" t="str">
        <x:v>extension:e1;priority:p1;category:extension</x:v>
      </x:c>
      <x:c r="V69" s="7" t="str">
        <x:v>Todo</x:v>
      </x:c>
      <x:c r="W69" s="7" t="str"/>
      <x:c r="X69" s="9" t="str">
        <x:v>Internal Sydney date. Estimate includes implementation, author checks and handoff; reviewer time is separately budgeted. Same-day handoff: complete/review TEST-09 before starting this task.</x:v>
      </x:c>
      <x:c r="Y69" s="12" t="n">
        <x:f>INT((M69-'Import Guide'!$B$3)/7)+1</x:f>
        <x:v>2</x:v>
      </x:c>
      <x:c r="Z69" s="12" t="str">
        <x:f>VLOOKUP(A69,'Dependencies'!$A$2:$G$224,7,FALSE)</x:f>
        <x:v>OK</x:v>
      </x:c>
      <x:c r="AA69" s="12" t="str">
        <x:f>IF(COUNTIFS('Milestones'!$A$2:$A$7,G69)&lt;&gt;1,"BAD GATE",IF(M69&lt;=VLOOKUP(G69,'Milestones'!$A$2:$C$7,3,FALSE),"OK","LATE"))</x:f>
        <x:v>OK</x:v>
      </x:c>
      <x:c r="AB69" s="12" t="n">
        <x:f>IF(OR(V69="Done",V69="Cut"),"",M69-TODAY())</x:f>
        <x:v>16</x:v>
      </x:c>
    </x:row>
    <x:row r="70" ht="90" customHeight="1">
      <x:c r="A70" s="7" t="str">
        <x:v>E1-04</x:v>
      </x:c>
      <x:c r="B70" s="7" t="str">
        <x:v>Run the 27-trial weather scenario matrix</x:v>
      </x:c>
      <x:c r="C70" s="9" t="str">
        <x:v>Run S0-S2 in at least 3 conditions, 3 seeds/runs each; retain zero-visibility failures.</x:v>
      </x:c>
      <x:c r="D70" s="9" t="str">
        <x:v>27 complete run records with margin, collision, completion, recall and latency per condition.</x:v>
      </x:c>
      <x:c r="E70" s="7" t="str">
        <x:v>Extension</x:v>
      </x:c>
      <x:c r="F70" s="7" t="str">
        <x:v>E1</x:v>
      </x:c>
      <x:c r="G70" s="7" t="str">
        <x:v>G4</x:v>
      </x:c>
      <x:c r="H70" s="7" t="str">
        <x:v>P1 should</x:v>
      </x:c>
      <x:c r="I70" s="7" t="str">
        <x:v>Alan</x:v>
      </x:c>
      <x:c r="J70" s="7" t="str">
        <x:f>IF(VLOOKUP(I70,'Team'!$A$2:$B$7,2,FALSE)="","",VLOOKUP(I70,'Team'!$A$2:$B$7,2,FALSE))</x:f>
      </x:c>
      <x:c r="K70" s="7" t="str">
        <x:v>Mohammad</x:v>
      </x:c>
      <x:c r="L70" s="10" t="n">
        <x:v>46321</x:v>
      </x:c>
      <x:c r="M70" s="10" t="n">
        <x:v>46321</x:v>
      </x:c>
      <x:c r="N70" s="11" t="n">
        <x:v>3</x:v>
      </x:c>
      <x:c r="O70" s="7" t="str">
        <x:v>G3-01,E1-02,E1-03</x:v>
      </x:c>
      <x:c r="P70" s="7" t="str">
        <x:v>E1-05, TEST-11</x:v>
      </x:c>
      <x:c r="Q70" s="7" t="str">
        <x:v>Y</x:v>
      </x:c>
      <x:c r="R70" s="7" t="str">
        <x:v>configs/scenarios/; scripts/run_acceptance_suite.py</x:v>
      </x:c>
      <x:c r="S70" s="7" t="str">
        <x:v>Weather matrix evidence</x:v>
      </x:c>
      <x:c r="T70" s="7" t="str">
        <x:v>Extension and design decisions</x:v>
      </x:c>
      <x:c r="U70" s="7" t="str">
        <x:v>extension:e1;priority:p1;carla-required;category:extension</x:v>
      </x:c>
      <x:c r="V70" s="7" t="str">
        <x:v>Todo</x:v>
      </x:c>
      <x:c r="W70" s="7" t="str"/>
      <x:c r="X70" s="9" t="str">
        <x:v>Internal Sydney date. Estimate includes implementation, author checks and handoff; reviewer time is separately budgeted.</x:v>
      </x:c>
      <x:c r="Y70" s="12" t="n">
        <x:f>INT((M70-'Import Guide'!$B$3)/7)+1</x:f>
        <x:v>3</x:v>
      </x:c>
      <x:c r="Z70" s="12" t="str">
        <x:f>VLOOKUP(A70,'Dependencies'!$A$2:$G$224,7,FALSE)</x:f>
        <x:v>OK</x:v>
      </x:c>
      <x:c r="AA70" s="12" t="str">
        <x:f>IF(COUNTIFS('Milestones'!$A$2:$A$7,G70)&lt;&gt;1,"BAD GATE",IF(M70&lt;=VLOOKUP(G70,'Milestones'!$A$2:$C$7,3,FALSE),"OK","LATE"))</x:f>
        <x:v>OK</x:v>
      </x:c>
      <x:c r="AB70" s="12" t="n">
        <x:f>IF(OR(V70="Done",V70="Cut"),"",M70-TODAY())</x:f>
        <x:v>18</x:v>
      </x:c>
    </x:row>
    <x:row r="71" ht="90" customHeight="1">
      <x:c r="A71" s="7" t="str">
        <x:v>E1-05</x:v>
      </x:c>
      <x:c r="B71" s="7" t="str">
        <x:v>Run full baseline regression with weather flag enabled</x:v>
      </x:c>
      <x:c r="C71" s="9" t="str">
        <x:v>Default weather flag and chosen admitted presets must preserve applicable baseline requirements.</x:v>
      </x:c>
      <x:c r="D71" s="9" t="str">
        <x:v>S0-S5 each five runs pass for admitted demo setting; failing presets listed as offline limitations.</x:v>
      </x:c>
      <x:c r="E71" s="7" t="str">
        <x:v>Extension</x:v>
      </x:c>
      <x:c r="F71" s="7" t="str">
        <x:v>E1</x:v>
      </x:c>
      <x:c r="G71" s="7" t="str">
        <x:v>G4</x:v>
      </x:c>
      <x:c r="H71" s="7" t="str">
        <x:v>P1 should</x:v>
      </x:c>
      <x:c r="I71" s="7" t="str">
        <x:v>Alan</x:v>
      </x:c>
      <x:c r="J71" s="7" t="str">
        <x:f>IF(VLOOKUP(I71,'Team'!$A$2:$B$7,2,FALSE)="","",VLOOKUP(I71,'Team'!$A$2:$B$7,2,FALSE))</x:f>
      </x:c>
      <x:c r="K71" s="7" t="str">
        <x:v>Mohammad</x:v>
      </x:c>
      <x:c r="L71" s="10" t="n">
        <x:v>46322</x:v>
      </x:c>
      <x:c r="M71" s="10" t="n">
        <x:v>46322</x:v>
      </x:c>
      <x:c r="N71" s="11" t="n">
        <x:v>2</x:v>
      </x:c>
      <x:c r="O71" s="7" t="str">
        <x:v>E1-04</x:v>
      </x:c>
      <x:c r="P71" s="7" t="str">
        <x:v>G4-01</x:v>
      </x:c>
      <x:c r="Q71" s="7" t="str">
        <x:v>Y</x:v>
      </x:c>
      <x:c r="R71" s="7" t="str">
        <x:v>configs/release.yaml</x:v>
      </x:c>
      <x:c r="S71" s="7" t="str">
        <x:v>Weather admission report</x:v>
      </x:c>
      <x:c r="T71" s="7" t="str">
        <x:v>Extension and design decisions</x:v>
      </x:c>
      <x:c r="U71" s="7" t="str">
        <x:v>extension:e1;priority:p1;carla-required;category:extension</x:v>
      </x:c>
      <x:c r="V71" s="7" t="str">
        <x:v>Todo</x:v>
      </x:c>
      <x:c r="W71" s="7" t="str"/>
      <x:c r="X71" s="9" t="str">
        <x:v>Internal Sydney date. Estimate includes implementation, author checks and handoff; reviewer time is separately budgeted.</x:v>
      </x:c>
      <x:c r="Y71" s="12" t="n">
        <x:f>INT((M71-'Import Guide'!$B$3)/7)+1</x:f>
        <x:v>3</x:v>
      </x:c>
      <x:c r="Z71" s="12" t="str">
        <x:f>VLOOKUP(A71,'Dependencies'!$A$2:$G$224,7,FALSE)</x:f>
        <x:v>OK</x:v>
      </x:c>
      <x:c r="AA71" s="12" t="str">
        <x:f>IF(COUNTIFS('Milestones'!$A$2:$A$7,G71)&lt;&gt;1,"BAD GATE",IF(M71&lt;=VLOOKUP(G71,'Milestones'!$A$2:$C$7,3,FALSE),"OK","LATE"))</x:f>
        <x:v>OK</x:v>
      </x:c>
      <x:c r="AB71" s="12" t="n">
        <x:f>IF(OR(V71="Done",V71="Cut"),"",M71-TODAY())</x:f>
        <x:v>19</x:v>
      </x:c>
    </x:row>
    <x:row r="72" ht="90" customHeight="1">
      <x:c r="A72" s="7" t="str">
        <x:v>E2-01</x:v>
      </x:c>
      <x:c r="B72" s="7" t="str">
        <x:v>Specify LiDAR vehicle-frame data and obstacle source</x:v>
      </x:c>
      <x:c r="C72" s="9" t="str">
        <x:v>Use N-by-4 float32 with x forward/y left/z up, timestamp and extrinsics; configure range and density.</x:v>
      </x:c>
      <x:c r="D72" s="9" t="str">
        <x:v>Synthetic point fixture and protocol accepted by corridor owner; no CARLA types in obstacle module.</x:v>
      </x:c>
      <x:c r="E72" s="7" t="str">
        <x:v>Extension</x:v>
      </x:c>
      <x:c r="F72" s="7" t="str">
        <x:v>E2</x:v>
      </x:c>
      <x:c r="G72" s="7" t="str">
        <x:v>G1</x:v>
      </x:c>
      <x:c r="H72" s="7" t="str">
        <x:v>P1 should</x:v>
      </x:c>
      <x:c r="I72" s="7" t="str">
        <x:v>Mohammad</x:v>
      </x:c>
      <x:c r="J72" s="7" t="str">
        <x:f>IF(VLOOKUP(I72,'Team'!$A$2:$B$7,2,FALSE)="","",VLOOKUP(I72,'Team'!$A$2:$B$7,2,FALSE))</x:f>
        <x:v>kkaaman</x:v>
      </x:c>
      <x:c r="K72" s="7" t="str">
        <x:v>Alan</x:v>
      </x:c>
      <x:c r="L72" s="10" t="n">
        <x:v>46312</x:v>
      </x:c>
      <x:c r="M72" s="10" t="n">
        <x:v>46312</x:v>
      </x:c>
      <x:c r="N72" s="11" t="n">
        <x:v>2</x:v>
      </x:c>
      <x:c r="O72" s="7" t="str">
        <x:v>BL-B-02,BL-C-01</x:v>
      </x:c>
      <x:c r="P72" s="7" t="str">
        <x:v>E2-02</x:v>
      </x:c>
      <x:c r="Q72" s="7" t="str">
        <x:v>N</x:v>
      </x:c>
      <x:c r="R72" s="7" t="str">
        <x:v>src/obstacle_perception/lidar_obstacles.py; configs/sensors.yaml</x:v>
      </x:c>
      <x:c r="S72" s="7" t="str">
        <x:v>LiDAR interface fixture</x:v>
      </x:c>
      <x:c r="T72" s="7" t="str">
        <x:v>Extension and design decisions</x:v>
      </x:c>
      <x:c r="U72" s="7" t="str">
        <x:v>extension:e2;priority:p1;category:extension</x:v>
      </x:c>
      <x:c r="V72" s="7" t="str">
        <x:v>Todo</x:v>
      </x:c>
      <x:c r="W72" s="7" t="str"/>
      <x:c r="X72" s="9" t="str">
        <x:v>Internal Sydney date. Estimate includes implementation, author checks and handoff; reviewer time is separately budgeted.</x:v>
      </x:c>
      <x:c r="Y72" s="12" t="n">
        <x:f>INT((M72-'Import Guide'!$B$3)/7)+1</x:f>
        <x:v>1</x:v>
      </x:c>
      <x:c r="Z72" s="12" t="str">
        <x:f>VLOOKUP(A72,'Dependencies'!$A$2:$G$224,7,FALSE)</x:f>
        <x:v>OK</x:v>
      </x:c>
      <x:c r="AA72" s="12" t="str">
        <x:f>IF(COUNTIFS('Milestones'!$A$2:$A$7,G72)&lt;&gt;1,"BAD GATE",IF(M72&lt;=VLOOKUP(G72,'Milestones'!$A$2:$C$7,3,FALSE),"OK","LATE"))</x:f>
        <x:v>OK</x:v>
      </x:c>
      <x:c r="AB72" s="12" t="n">
        <x:f>IF(OR(V72="Done",V72="Cut"),"",M72-TODAY())</x:f>
        <x:v>9</x:v>
      </x:c>
    </x:row>
    <x:row r="73" ht="90" customHeight="1">
      <x:c r="A73" s="7" t="str">
        <x:v>E2-02</x:v>
      </x:c>
      <x:c r="B73" s="7" t="str">
        <x:v>Capture configured LiDAR and verify transforms</x:v>
      </x:c>
      <x:c r="C73" s="9" t="str">
        <x:v>Set ray_cast rotation_frequency=1/dt; transform points from sensor to vehicle once.</x:v>
      </x:c>
      <x:c r="D73" s="9" t="str">
        <x:v>Known object coordinates and intensity column checked; frame IDs and resulting scan density recorded.</x:v>
      </x:c>
      <x:c r="E73" s="7" t="str">
        <x:v>Extension</x:v>
      </x:c>
      <x:c r="F73" s="7" t="str">
        <x:v>E2</x:v>
      </x:c>
      <x:c r="G73" s="7" t="str">
        <x:v>G1</x:v>
      </x:c>
      <x:c r="H73" s="7" t="str">
        <x:v>P1 should</x:v>
      </x:c>
      <x:c r="I73" s="7" t="str">
        <x:v>Mohammad</x:v>
      </x:c>
      <x:c r="J73" s="7" t="str">
        <x:f>IF(VLOOKUP(I73,'Team'!$A$2:$B$7,2,FALSE)="","",VLOOKUP(I73,'Team'!$A$2:$B$7,2,FALSE))</x:f>
        <x:v>kkaaman</x:v>
      </x:c>
      <x:c r="K73" s="7" t="str">
        <x:v>Alan</x:v>
      </x:c>
      <x:c r="L73" s="10" t="n">
        <x:v>46313</x:v>
      </x:c>
      <x:c r="M73" s="10" t="n">
        <x:v>46313</x:v>
      </x:c>
      <x:c r="N73" s="11" t="n">
        <x:v>2</x:v>
      </x:c>
      <x:c r="O73" s="7" t="str">
        <x:v>E2-01,BL-B-03</x:v>
      </x:c>
      <x:c r="P73" s="7" t="str">
        <x:v>E2-03</x:v>
      </x:c>
      <x:c r="Q73" s="7" t="str">
        <x:v>Y</x:v>
      </x:c>
      <x:c r="R73" s="7" t="str">
        <x:v>src/carla_adapter/sensors.py</x:v>
      </x:c>
      <x:c r="S73" s="7" t="str">
        <x:v>LiDAR dataset</x:v>
      </x:c>
      <x:c r="T73" s="7" t="str">
        <x:v>Extension and design decisions</x:v>
      </x:c>
      <x:c r="U73" s="7" t="str">
        <x:v>extension:e2;priority:p1;carla-required;category:extension</x:v>
      </x:c>
      <x:c r="V73" s="7" t="str">
        <x:v>Todo</x:v>
      </x:c>
      <x:c r="W73" s="7" t="str"/>
      <x:c r="X73" s="9" t="str">
        <x:v>Internal Sydney date. Estimate includes implementation, author checks and handoff; reviewer time is separately budgeted.</x:v>
      </x:c>
      <x:c r="Y73" s="12" t="n">
        <x:f>INT((M73-'Import Guide'!$B$3)/7)+1</x:f>
        <x:v>1</x:v>
      </x:c>
      <x:c r="Z73" s="12" t="str">
        <x:f>VLOOKUP(A73,'Dependencies'!$A$2:$G$224,7,FALSE)</x:f>
        <x:v>OK</x:v>
      </x:c>
      <x:c r="AA73" s="12" t="str">
        <x:f>IF(COUNTIFS('Milestones'!$A$2:$A$7,G73)&lt;&gt;1,"BAD GATE",IF(M73&lt;=VLOOKUP(G73,'Milestones'!$A$2:$C$7,3,FALSE),"OK","LATE"))</x:f>
        <x:v>OK</x:v>
      </x:c>
      <x:c r="AB73" s="12" t="n">
        <x:f>IF(OR(V73="Done",V73="Cut"),"",M73-TODAY())</x:f>
        <x:v>10</x:v>
      </x:c>
    </x:row>
    <x:row r="74" ht="90" customHeight="1">
      <x:c r="A74" s="7" t="str">
        <x:v>E2-03</x:v>
      </x:c>
      <x:c r="B74" s="7" t="str">
        <x:v>Implement ground removal, corridor crop and clustering</x:v>
      </x:c>
      <x:c r="C74" s="9" t="str">
        <x:v>Use configurable height/plane filter and bounded clustering; estimate cluster footprint and nearest surface.</x:v>
      </x:c>
      <x:c r="D74" s="9" t="str">
        <x:v>Synthetic/recorded tests separate road, roadside objects and in-corridor clusters; sparse data invalidity handled.</x:v>
      </x:c>
      <x:c r="E74" s="7" t="str">
        <x:v>Extension</x:v>
      </x:c>
      <x:c r="F74" s="7" t="str">
        <x:v>E2</x:v>
      </x:c>
      <x:c r="G74" s="7" t="str">
        <x:v>G2</x:v>
      </x:c>
      <x:c r="H74" s="7" t="str">
        <x:v>P1 should</x:v>
      </x:c>
      <x:c r="I74" s="7" t="str">
        <x:v>Mohammad</x:v>
      </x:c>
      <x:c r="J74" s="7" t="str">
        <x:f>IF(VLOOKUP(I74,'Team'!$A$2:$B$7,2,FALSE)="","",VLOOKUP(I74,'Team'!$A$2:$B$7,2,FALSE))</x:f>
        <x:v>kkaaman</x:v>
      </x:c>
      <x:c r="K74" s="7" t="str">
        <x:v>Alan</x:v>
      </x:c>
      <x:c r="L74" s="10" t="n">
        <x:v>46315</x:v>
      </x:c>
      <x:c r="M74" s="10" t="n">
        <x:v>46315</x:v>
      </x:c>
      <x:c r="N74" s="11" t="n">
        <x:v>3</x:v>
      </x:c>
      <x:c r="O74" s="7" t="str">
        <x:v>E2-02,BL-D-04</x:v>
      </x:c>
      <x:c r="P74" s="7" t="str">
        <x:v>E2-04</x:v>
      </x:c>
      <x:c r="Q74" s="7" t="str">
        <x:v>N</x:v>
      </x:c>
      <x:c r="R74" s="7" t="str">
        <x:v>src/obstacle_perception/lidar_obstacles.py</x:v>
      </x:c>
      <x:c r="S74" s="7" t="str">
        <x:v>LiDAR unit/replay tests</x:v>
      </x:c>
      <x:c r="T74" s="7" t="str">
        <x:v>Extension and design decisions</x:v>
      </x:c>
      <x:c r="U74" s="7" t="str">
        <x:v>extension:e2;priority:p1;category:extension</x:v>
      </x:c>
      <x:c r="V74" s="7" t="str">
        <x:v>Todo</x:v>
      </x:c>
      <x:c r="W74" s="7" t="str"/>
      <x:c r="X74" s="9" t="str">
        <x:v>Internal Sydney date. Estimate includes implementation, author checks and handoff; reviewer time is separately budgeted.</x:v>
      </x:c>
      <x:c r="Y74" s="12" t="n">
        <x:f>INT((M74-'Import Guide'!$B$3)/7)+1</x:f>
        <x:v>2</x:v>
      </x:c>
      <x:c r="Z74" s="12" t="str">
        <x:f>VLOOKUP(A74,'Dependencies'!$A$2:$G$224,7,FALSE)</x:f>
        <x:v>OK</x:v>
      </x:c>
      <x:c r="AA74" s="12" t="str">
        <x:f>IF(COUNTIFS('Milestones'!$A$2:$A$7,G74)&lt;&gt;1,"BAD GATE",IF(M74&lt;=VLOOKUP(G74,'Milestones'!$A$2:$C$7,3,FALSE),"OK","LATE"))</x:f>
        <x:v>OK</x:v>
      </x:c>
      <x:c r="AB74" s="12" t="n">
        <x:f>IF(OR(V74="Done",V74="Cut"),"",M74-TODAY())</x:f>
        <x:v>12</x:v>
      </x:c>
    </x:row>
    <x:row r="75" ht="90" customHeight="1">
      <x:c r="A75" s="7" t="str">
        <x:v>E2-04</x:v>
      </x:c>
      <x:c r="B75" s="7" t="str">
        <x:v>Fuse confirmed LiDAR obstacles into common governor input</x:v>
      </x:c>
      <x:c r="C75" s="9" t="str">
        <x:v>Use source-namespaced tracking and nearest valid obstacle; don't double count distance or IDs.</x:v>
      </x:c>
      <x:c r="D75" s="9" t="str">
        <x:v>Depth and LiDAR disagreement resolved conservatively; loss of one sensor does not imply clear corridor.</x:v>
      </x:c>
      <x:c r="E75" s="7" t="str">
        <x:v>Extension</x:v>
      </x:c>
      <x:c r="F75" s="7" t="str">
        <x:v>E2</x:v>
      </x:c>
      <x:c r="G75" s="7" t="str">
        <x:v>G2</x:v>
      </x:c>
      <x:c r="H75" s="7" t="str">
        <x:v>P1 should</x:v>
      </x:c>
      <x:c r="I75" s="7" t="str">
        <x:v>Mohammad</x:v>
      </x:c>
      <x:c r="J75" s="7" t="str">
        <x:f>IF(VLOOKUP(I75,'Team'!$A$2:$B$7,2,FALSE)="","",VLOOKUP(I75,'Team'!$A$2:$B$7,2,FALSE))</x:f>
        <x:v>kkaaman</x:v>
      </x:c>
      <x:c r="K75" s="7" t="str">
        <x:v>Alan</x:v>
      </x:c>
      <x:c r="L75" s="10" t="n">
        <x:v>46316</x:v>
      </x:c>
      <x:c r="M75" s="10" t="n">
        <x:v>46316</x:v>
      </x:c>
      <x:c r="N75" s="11" t="n">
        <x:v>2.5</x:v>
      </x:c>
      <x:c r="O75" s="7" t="str">
        <x:v>E2-03,BL-C-06</x:v>
      </x:c>
      <x:c r="P75" s="7" t="str">
        <x:v>E2-05</x:v>
      </x:c>
      <x:c r="Q75" s="7" t="str">
        <x:v>N</x:v>
      </x:c>
      <x:c r="R75" s="7" t="str">
        <x:v>src/obstacle_perception/; tests/integration/</x:v>
      </x:c>
      <x:c r="S75" s="7" t="str">
        <x:v>Fusion replay results</x:v>
      </x:c>
      <x:c r="T75" s="7" t="str">
        <x:v>Extension and design decisions</x:v>
      </x:c>
      <x:c r="U75" s="7" t="str">
        <x:v>extension:e2;priority:p1;category:extension</x:v>
      </x:c>
      <x:c r="V75" s="7" t="str">
        <x:v>Todo</x:v>
      </x:c>
      <x:c r="W75" s="7" t="str"/>
      <x:c r="X75" s="9" t="str">
        <x:v>Internal Sydney date. Estimate includes implementation, author checks and handoff; reviewer time is separately budgeted.</x:v>
      </x:c>
      <x:c r="Y75" s="12" t="n">
        <x:f>INT((M75-'Import Guide'!$B$3)/7)+1</x:f>
        <x:v>2</x:v>
      </x:c>
      <x:c r="Z75" s="12" t="str">
        <x:f>VLOOKUP(A75,'Dependencies'!$A$2:$G$224,7,FALSE)</x:f>
        <x:v>OK</x:v>
      </x:c>
      <x:c r="AA75" s="12" t="str">
        <x:f>IF(COUNTIFS('Milestones'!$A$2:$A$7,G75)&lt;&gt;1,"BAD GATE",IF(M75&lt;=VLOOKUP(G75,'Milestones'!$A$2:$C$7,3,FALSE),"OK","LATE"))</x:f>
        <x:v>OK</x:v>
      </x:c>
      <x:c r="AB75" s="12" t="n">
        <x:f>IF(OR(V75="Done",V75="Cut"),"",M75-TODAY())</x:f>
        <x:v>13</x:v>
      </x:c>
    </x:row>
    <x:row r="76" ht="90" customHeight="1">
      <x:c r="A76" s="7" t="str">
        <x:v>E2-05</x:v>
      </x:c>
      <x:c r="B76" s="7" t="str">
        <x:v>Demonstrate L1 and measure LiDAR versus depth range</x:v>
      </x:c>
      <x:c r="C76" s="9" t="str">
        <x:v>Place verified cone/barrier prop that frozen YOLO fails to label; compare ground-truth surface distance.</x:v>
      </x:c>
      <x:c r="D76" s="9" t="str">
        <x:v>L1 stops with 0 collisions; distance errors and sensor overhead measured on demo laptop.</x:v>
      </x:c>
      <x:c r="E76" s="7" t="str">
        <x:v>Extension</x:v>
      </x:c>
      <x:c r="F76" s="7" t="str">
        <x:v>E2</x:v>
      </x:c>
      <x:c r="G76" s="7" t="str">
        <x:v>G4</x:v>
      </x:c>
      <x:c r="H76" s="7" t="str">
        <x:v>P1 should</x:v>
      </x:c>
      <x:c r="I76" s="7" t="str">
        <x:v>Mohammad</x:v>
      </x:c>
      <x:c r="J76" s="7" t="str">
        <x:f>IF(VLOOKUP(I76,'Team'!$A$2:$B$7,2,FALSE)="","",VLOOKUP(I76,'Team'!$A$2:$B$7,2,FALSE))</x:f>
        <x:v>kkaaman</x:v>
      </x:c>
      <x:c r="K76" s="7" t="str">
        <x:v>Alan</x:v>
      </x:c>
      <x:c r="L76" s="10" t="n">
        <x:v>46321</x:v>
      </x:c>
      <x:c r="M76" s="10" t="n">
        <x:v>46321</x:v>
      </x:c>
      <x:c r="N76" s="11" t="n">
        <x:v>2.5</x:v>
      </x:c>
      <x:c r="O76" s="7" t="str">
        <x:v>G3-01,E2-04</x:v>
      </x:c>
      <x:c r="P76" s="7" t="str">
        <x:v>E2-06, TEST-11, DOC-14</x:v>
      </x:c>
      <x:c r="Q76" s="7" t="str">
        <x:v>Y</x:v>
      </x:c>
      <x:c r="R76" s="7" t="str">
        <x:v>configs/scenarios/L1.yaml</x:v>
      </x:c>
      <x:c r="S76" s="7" t="str">
        <x:v>L1 video, errors and timing table</x:v>
      </x:c>
      <x:c r="T76" s="7" t="str">
        <x:v>Extension and design decisions</x:v>
      </x:c>
      <x:c r="U76" s="7" t="str">
        <x:v>extension:e2;priority:p1;carla-required;category:extension</x:v>
      </x:c>
      <x:c r="V76" s="7" t="str">
        <x:v>Todo</x:v>
      </x:c>
      <x:c r="W76" s="7" t="str"/>
      <x:c r="X76" s="9" t="str">
        <x:v>Internal Sydney date. Estimate includes implementation, author checks and handoff; reviewer time is separately budgeted.</x:v>
      </x:c>
      <x:c r="Y76" s="12" t="n">
        <x:f>INT((M76-'Import Guide'!$B$3)/7)+1</x:f>
        <x:v>3</x:v>
      </x:c>
      <x:c r="Z76" s="12" t="str">
        <x:f>VLOOKUP(A76,'Dependencies'!$A$2:$G$224,7,FALSE)</x:f>
        <x:v>OK</x:v>
      </x:c>
      <x:c r="AA76" s="12" t="str">
        <x:f>IF(COUNTIFS('Milestones'!$A$2:$A$7,G76)&lt;&gt;1,"BAD GATE",IF(M76&lt;=VLOOKUP(G76,'Milestones'!$A$2:$C$7,3,FALSE),"OK","LATE"))</x:f>
        <x:v>OK</x:v>
      </x:c>
      <x:c r="AB76" s="12" t="n">
        <x:f>IF(OR(V76="Done",V76="Cut"),"",M76-TODAY())</x:f>
        <x:v>18</x:v>
      </x:c>
    </x:row>
    <x:row r="77" ht="90" customHeight="1">
      <x:c r="A77" s="7" t="str">
        <x:v>E2-06</x:v>
      </x:c>
      <x:c r="B77" s="7" t="str">
        <x:v>Run full baseline regression with LiDAR enabled</x:v>
      </x:c>
      <x:c r="C77" s="9" t="str">
        <x:v>Test S0-S5 five times each after source fusion; watch false stops from ground clusters.</x:v>
      </x:c>
      <x:c r="D77" s="9" t="str">
        <x:v>30 runs pass applicable thresholds; measured added wall latency remains within frozen budget.</x:v>
      </x:c>
      <x:c r="E77" s="7" t="str">
        <x:v>Extension</x:v>
      </x:c>
      <x:c r="F77" s="7" t="str">
        <x:v>E2</x:v>
      </x:c>
      <x:c r="G77" s="7" t="str">
        <x:v>G4</x:v>
      </x:c>
      <x:c r="H77" s="7" t="str">
        <x:v>P1 should</x:v>
      </x:c>
      <x:c r="I77" s="7" t="str">
        <x:v>Mohammad</x:v>
      </x:c>
      <x:c r="J77" s="7" t="str">
        <x:f>IF(VLOOKUP(I77,'Team'!$A$2:$B$7,2,FALSE)="","",VLOOKUP(I77,'Team'!$A$2:$B$7,2,FALSE))</x:f>
        <x:v>kkaaman</x:v>
      </x:c>
      <x:c r="K77" s="7" t="str">
        <x:v>Alan</x:v>
      </x:c>
      <x:c r="L77" s="10" t="n">
        <x:v>46322</x:v>
      </x:c>
      <x:c r="M77" s="10" t="n">
        <x:v>46322</x:v>
      </x:c>
      <x:c r="N77" s="11" t="n">
        <x:v>2</x:v>
      </x:c>
      <x:c r="O77" s="7" t="str">
        <x:v>E2-05</x:v>
      </x:c>
      <x:c r="P77" s="7" t="str">
        <x:v>G4-01</x:v>
      </x:c>
      <x:c r="Q77" s="7" t="str">
        <x:v>Y</x:v>
      </x:c>
      <x:c r="R77" s="7" t="str">
        <x:v>scripts/run_acceptance_suite.py</x:v>
      </x:c>
      <x:c r="S77" s="7" t="str">
        <x:v>LiDAR admission report</x:v>
      </x:c>
      <x:c r="T77" s="7" t="str">
        <x:v>Extension and design decisions</x:v>
      </x:c>
      <x:c r="U77" s="7" t="str">
        <x:v>extension:e2;priority:p1;carla-required;category:extension</x:v>
      </x:c>
      <x:c r="V77" s="7" t="str">
        <x:v>Todo</x:v>
      </x:c>
      <x:c r="W77" s="7" t="str"/>
      <x:c r="X77" s="9" t="str">
        <x:v>Internal Sydney date. Estimate includes implementation, author checks and handoff; reviewer time is separately budgeted.</x:v>
      </x:c>
      <x:c r="Y77" s="12" t="n">
        <x:f>INT((M77-'Import Guide'!$B$3)/7)+1</x:f>
        <x:v>3</x:v>
      </x:c>
      <x:c r="Z77" s="12" t="str">
        <x:f>VLOOKUP(A77,'Dependencies'!$A$2:$G$224,7,FALSE)</x:f>
        <x:v>OK</x:v>
      </x:c>
      <x:c r="AA77" s="12" t="str">
        <x:f>IF(COUNTIFS('Milestones'!$A$2:$A$7,G77)&lt;&gt;1,"BAD GATE",IF(M77&lt;=VLOOKUP(G77,'Milestones'!$A$2:$C$7,3,FALSE),"OK","LATE"))</x:f>
        <x:v>OK</x:v>
      </x:c>
      <x:c r="AB77" s="12" t="n">
        <x:f>IF(OR(V77="Done",V77="Cut"),"",M77-TODAY())</x:f>
        <x:v>19</x:v>
      </x:c>
    </x:row>
    <x:row r="78" ht="90" customHeight="1">
      <x:c r="A78" s="7" t="str">
        <x:v>E3-01</x:v>
      </x:c>
      <x:c r="B78" s="7" t="str">
        <x:v>Implement A-star on the exported lane graph</x:v>
      </x:c>
      <x:c r="C78" s="9" t="str">
        <x:v>Use length cost and admissible Euclidean heuristic; deterministic tie-breaking; v1 excludes lane changes.</x:v>
      </x:c>
      <x:c r="D78" s="9" t="str">
        <x:v>Small graph tests match Dijkstra reference including unreachable destinations and one-way edges.</x:v>
      </x:c>
      <x:c r="E78" s="7" t="str">
        <x:v>Extension</x:v>
      </x:c>
      <x:c r="F78" s="7" t="str">
        <x:v>E3</x:v>
      </x:c>
      <x:c r="G78" s="7" t="str">
        <x:v>G1</x:v>
      </x:c>
      <x:c r="H78" s="7" t="str">
        <x:v>P1 should</x:v>
      </x:c>
      <x:c r="I78" s="7" t="str">
        <x:v>Abdullah</x:v>
      </x:c>
      <x:c r="J78" s="7" t="str">
        <x:f>IF(VLOOKUP(I78,'Team'!$A$2:$B$7,2,FALSE)="","",VLOOKUP(I78,'Team'!$A$2:$B$7,2,FALSE))</x:f>
      </x:c>
      <x:c r="K78" s="7" t="str">
        <x:v>Zhaolin</x:v>
      </x:c>
      <x:c r="L78" s="10" t="n">
        <x:v>46312</x:v>
      </x:c>
      <x:c r="M78" s="10" t="n">
        <x:v>46312</x:v>
      </x:c>
      <x:c r="N78" s="11" t="n">
        <x:v>2</x:v>
      </x:c>
      <x:c r="O78" s="7" t="str">
        <x:v>BL-A-02</x:v>
      </x:c>
      <x:c r="P78" s="7" t="str">
        <x:v>E3-02</x:v>
      </x:c>
      <x:c r="Q78" s="7" t="str">
        <x:v>N</x:v>
      </x:c>
      <x:c r="R78" s="7" t="str">
        <x:v>src/planning/wayfinder.py</x:v>
      </x:c>
      <x:c r="S78" s="7" t="str">
        <x:v>A-star graph tests</x:v>
      </x:c>
      <x:c r="T78" s="7" t="str">
        <x:v>Extension and design decisions</x:v>
      </x:c>
      <x:c r="U78" s="7" t="str">
        <x:v>extension:e3;priority:p1;category:extension</x:v>
      </x:c>
      <x:c r="V78" s="7" t="str">
        <x:v>Todo</x:v>
      </x:c>
      <x:c r="W78" s="7" t="str"/>
      <x:c r="X78" s="9" t="str">
        <x:v>Internal Sydney date. Estimate includes implementation, author checks and handoff; reviewer time is separately budgeted.</x:v>
      </x:c>
      <x:c r="Y78" s="12" t="n">
        <x:f>INT((M78-'Import Guide'!$B$3)/7)+1</x:f>
        <x:v>1</x:v>
      </x:c>
      <x:c r="Z78" s="12" t="str">
        <x:f>VLOOKUP(A78,'Dependencies'!$A$2:$G$224,7,FALSE)</x:f>
        <x:v>OK</x:v>
      </x:c>
      <x:c r="AA78" s="12" t="str">
        <x:f>IF(COUNTIFS('Milestones'!$A$2:$A$7,G78)&lt;&gt;1,"BAD GATE",IF(M78&lt;=VLOOKUP(G78,'Milestones'!$A$2:$C$7,3,FALSE),"OK","LATE"))</x:f>
        <x:v>OK</x:v>
      </x:c>
      <x:c r="AB78" s="12" t="n">
        <x:f>IF(OR(V78="Done",V78="Cut"),"",M78-TODAY())</x:f>
        <x:v>9</x:v>
      </x:c>
    </x:row>
    <x:row r="79" ht="90" customHeight="1">
      <x:c r="A79" s="7" t="str">
        <x:v>E3-02</x:v>
      </x:c>
      <x:c r="B79" s="7" t="str">
        <x:v>Connect named destinations to continuous route generation</x:v>
      </x:c>
      <x:c r="C79" s="9" t="str">
        <x:v>Validate legal origin/destination nodes; emit lane/maneuver sequence into RouteManager.</x:v>
      </x:c>
      <x:c r="D79" s="9" t="str">
        <x:v>Five fixture pairs yield continuous legal paths without endpoint resets at every maneuver.</x:v>
      </x:c>
      <x:c r="E79" s="7" t="str">
        <x:v>Extension</x:v>
      </x:c>
      <x:c r="F79" s="7" t="str">
        <x:v>E3</x:v>
      </x:c>
      <x:c r="G79" s="7" t="str">
        <x:v>G2</x:v>
      </x:c>
      <x:c r="H79" s="7" t="str">
        <x:v>P1 should</x:v>
      </x:c>
      <x:c r="I79" s="7" t="str">
        <x:v>Abdullah</x:v>
      </x:c>
      <x:c r="J79" s="7" t="str">
        <x:f>IF(VLOOKUP(I79,'Team'!$A$2:$B$7,2,FALSE)="","",VLOOKUP(I79,'Team'!$A$2:$B$7,2,FALSE))</x:f>
      </x:c>
      <x:c r="K79" s="7" t="str">
        <x:v>Zhaolin</x:v>
      </x:c>
      <x:c r="L79" s="10" t="n">
        <x:v>46314</x:v>
      </x:c>
      <x:c r="M79" s="10" t="n">
        <x:v>46314</x:v>
      </x:c>
      <x:c r="N79" s="11" t="n">
        <x:v>2.5</x:v>
      </x:c>
      <x:c r="O79" s="7" t="str">
        <x:v>E3-01,BL-A-03</x:v>
      </x:c>
      <x:c r="P79" s="7" t="str">
        <x:v>E3-03</x:v>
      </x:c>
      <x:c r="Q79" s="7" t="str">
        <x:v>N</x:v>
      </x:c>
      <x:c r="R79" s="7" t="str">
        <x:v>src/planning/wayfinder.py; route_manager.py</x:v>
      </x:c>
      <x:c r="S79" s="7" t="str">
        <x:v>Wayfinder route fixtures</x:v>
      </x:c>
      <x:c r="T79" s="7" t="str">
        <x:v>Extension and design decisions</x:v>
      </x:c>
      <x:c r="U79" s="7" t="str">
        <x:v>extension:e3;priority:p1;category:extension</x:v>
      </x:c>
      <x:c r="V79" s="7" t="str">
        <x:v>Todo</x:v>
      </x:c>
      <x:c r="W79" s="7" t="str"/>
      <x:c r="X79" s="9" t="str">
        <x:v>Internal Sydney date. Estimate includes implementation, author checks and handoff; reviewer time is separately budgeted.</x:v>
      </x:c>
      <x:c r="Y79" s="12" t="n">
        <x:f>INT((M79-'Import Guide'!$B$3)/7)+1</x:f>
        <x:v>2</x:v>
      </x:c>
      <x:c r="Z79" s="12" t="str">
        <x:f>VLOOKUP(A79,'Dependencies'!$A$2:$G$224,7,FALSE)</x:f>
        <x:v>OK</x:v>
      </x:c>
      <x:c r="AA79" s="12" t="str">
        <x:f>IF(COUNTIFS('Milestones'!$A$2:$A$7,G79)&lt;&gt;1,"BAD GATE",IF(M79&lt;=VLOOKUP(G79,'Milestones'!$A$2:$C$7,3,FALSE),"OK","LATE"))</x:f>
        <x:v>OK</x:v>
      </x:c>
      <x:c r="AB79" s="12" t="n">
        <x:f>IF(OR(V79="Done",V79="Cut"),"",M79-TODAY())</x:f>
        <x:v>11</x:v>
      </x:c>
    </x:row>
    <x:row r="80" ht="90" customHeight="1">
      <x:c r="A80" s="7" t="str">
        <x:v>E3-03</x:v>
      </x:c>
      <x:c r="B80" s="7" t="str">
        <x:v>Add route mini-map, maneuver distance and ETA</x:v>
      </x:c>
      <x:c r="C80" s="9" t="str">
        <x:v>Expose named POIs first; click destination optional; display units and ETA based on remaining path/speed policy.</x:v>
      </x:c>
      <x:c r="D80" s="9" t="str">
        <x:v>Recorded replay shows route/current pose/next turn; stopped ETA is shown as paused, not division by zero.</x:v>
      </x:c>
      <x:c r="E80" s="7" t="str">
        <x:v>Extension</x:v>
      </x:c>
      <x:c r="F80" s="7" t="str">
        <x:v>E3</x:v>
      </x:c>
      <x:c r="G80" s="7" t="str">
        <x:v>G2</x:v>
      </x:c>
      <x:c r="H80" s="7" t="str">
        <x:v>P1 should</x:v>
      </x:c>
      <x:c r="I80" s="7" t="str">
        <x:v>Abdullah</x:v>
      </x:c>
      <x:c r="J80" s="7" t="str">
        <x:f>IF(VLOOKUP(I80,'Team'!$A$2:$B$7,2,FALSE)="","",VLOOKUP(I80,'Team'!$A$2:$B$7,2,FALSE))</x:f>
      </x:c>
      <x:c r="K80" s="7" t="str">
        <x:v>Zhaolin</x:v>
      </x:c>
      <x:c r="L80" s="10" t="n">
        <x:v>46316</x:v>
      </x:c>
      <x:c r="M80" s="10" t="n">
        <x:v>46316</x:v>
      </x:c>
      <x:c r="N80" s="11" t="n">
        <x:v>2.5</x:v>
      </x:c>
      <x:c r="O80" s="7" t="str">
        <x:v>E3-02,RV-06</x:v>
      </x:c>
      <x:c r="P80" s="7" t="str">
        <x:v>E3-04</x:v>
      </x:c>
      <x:c r="Q80" s="7" t="str">
        <x:v>N</x:v>
      </x:c>
      <x:c r="R80" s="7" t="str">
        <x:v>src/visualisation/; configs/destinations.yaml</x:v>
      </x:c>
      <x:c r="S80" s="7" t="str">
        <x:v>Wayfinder HUD screenshots</x:v>
      </x:c>
      <x:c r="T80" s="7" t="str">
        <x:v>Extension and design decisions</x:v>
      </x:c>
      <x:c r="U80" s="7" t="str">
        <x:v>extension:e3;priority:p1;category:extension</x:v>
      </x:c>
      <x:c r="V80" s="7" t="str">
        <x:v>Todo</x:v>
      </x:c>
      <x:c r="W80" s="7" t="str"/>
      <x:c r="X80" s="9" t="str">
        <x:v>Internal Sydney date. Estimate includes implementation, author checks and handoff; reviewer time is separately budgeted.</x:v>
      </x:c>
      <x:c r="Y80" s="12" t="n">
        <x:f>INT((M80-'Import Guide'!$B$3)/7)+1</x:f>
        <x:v>2</x:v>
      </x:c>
      <x:c r="Z80" s="12" t="str">
        <x:f>VLOOKUP(A80,'Dependencies'!$A$2:$G$224,7,FALSE)</x:f>
        <x:v>OK</x:v>
      </x:c>
      <x:c r="AA80" s="12" t="str">
        <x:f>IF(COUNTIFS('Milestones'!$A$2:$A$7,G80)&lt;&gt;1,"BAD GATE",IF(M80&lt;=VLOOKUP(G80,'Milestones'!$A$2:$C$7,3,FALSE),"OK","LATE"))</x:f>
        <x:v>OK</x:v>
      </x:c>
      <x:c r="AB80" s="12" t="n">
        <x:f>IF(OR(V80="Done",V80="Cut"),"",M80-TODAY())</x:f>
        <x:v>13</x:v>
      </x:c>
    </x:row>
    <x:row r="81" ht="90" customHeight="1">
      <x:c r="A81" s="7" t="str">
        <x:v>E3-04</x:v>
      </x:c>
      <x:c r="B81" s="7" t="str">
        <x:v>Run five WF1 destination pairs and route-length comparison</x:v>
      </x:c>
      <x:c r="C81" s="9" t="str">
        <x:v>Use adapter-only GlobalRoutePlanner as reference; state lane-change constraints when lengths differ.</x:v>
      </x:c>
      <x:c r="D81" s="9" t="str">
        <x:v>5/5 reachable no-lane-change pairs complete; length, time, CTE and failures recorded.</x:v>
      </x:c>
      <x:c r="E81" s="7" t="str">
        <x:v>Extension</x:v>
      </x:c>
      <x:c r="F81" s="7" t="str">
        <x:v>E3</x:v>
      </x:c>
      <x:c r="G81" s="7" t="str">
        <x:v>G4</x:v>
      </x:c>
      <x:c r="H81" s="7" t="str">
        <x:v>P1 should</x:v>
      </x:c>
      <x:c r="I81" s="7" t="str">
        <x:v>Abdullah</x:v>
      </x:c>
      <x:c r="J81" s="7" t="str">
        <x:f>IF(VLOOKUP(I81,'Team'!$A$2:$B$7,2,FALSE)="","",VLOOKUP(I81,'Team'!$A$2:$B$7,2,FALSE))</x:f>
      </x:c>
      <x:c r="K81" s="7" t="str">
        <x:v>Zhaolin</x:v>
      </x:c>
      <x:c r="L81" s="10" t="n">
        <x:v>46321</x:v>
      </x:c>
      <x:c r="M81" s="10" t="n">
        <x:v>46321</x:v>
      </x:c>
      <x:c r="N81" s="11" t="n">
        <x:v>2.5</x:v>
      </x:c>
      <x:c r="O81" s="7" t="str">
        <x:v>G3-01,E3-03</x:v>
      </x:c>
      <x:c r="P81" s="7" t="str">
        <x:v>E3-05, TEST-11, DOC-13</x:v>
      </x:c>
      <x:c r="Q81" s="7" t="str">
        <x:v>Y</x:v>
      </x:c>
      <x:c r="R81" s="7" t="str">
        <x:v>configs/scenarios/WF1.yaml; evaluation/</x:v>
      </x:c>
      <x:c r="S81" s="7" t="str">
        <x:v>WF1 route comparison</x:v>
      </x:c>
      <x:c r="T81" s="7" t="str">
        <x:v>Extension and design decisions</x:v>
      </x:c>
      <x:c r="U81" s="7" t="str">
        <x:v>extension:e3;priority:p1;carla-required;category:extension</x:v>
      </x:c>
      <x:c r="V81" s="7" t="str">
        <x:v>Todo</x:v>
      </x:c>
      <x:c r="W81" s="7" t="str"/>
      <x:c r="X81" s="9" t="str">
        <x:v>Internal Sydney date. Estimate includes implementation, author checks and handoff; reviewer time is separately budgeted.</x:v>
      </x:c>
      <x:c r="Y81" s="12" t="n">
        <x:f>INT((M81-'Import Guide'!$B$3)/7)+1</x:f>
        <x:v>3</x:v>
      </x:c>
      <x:c r="Z81" s="12" t="str">
        <x:f>VLOOKUP(A81,'Dependencies'!$A$2:$G$224,7,FALSE)</x:f>
        <x:v>OK</x:v>
      </x:c>
      <x:c r="AA81" s="12" t="str">
        <x:f>IF(COUNTIFS('Milestones'!$A$2:$A$7,G81)&lt;&gt;1,"BAD GATE",IF(M81&lt;=VLOOKUP(G81,'Milestones'!$A$2:$C$7,3,FALSE),"OK","LATE"))</x:f>
        <x:v>OK</x:v>
      </x:c>
      <x:c r="AB81" s="12" t="n">
        <x:f>IF(OR(V81="Done",V81="Cut"),"",M81-TODAY())</x:f>
        <x:v>18</x:v>
      </x:c>
    </x:row>
    <x:row r="82" ht="90" customHeight="1">
      <x:c r="A82" s="7" t="str">
        <x:v>E3-05</x:v>
      </x:c>
      <x:c r="B82" s="7" t="str">
        <x:v>Run full baseline regression with Wayfinder enabled</x:v>
      </x:c>
      <x:c r="C82" s="9" t="str">
        <x:v>Use original mission destination and S0-S5 with flag on; confirm identical corridor basis.</x:v>
      </x:c>
      <x:c r="D82" s="9" t="str">
        <x:v>30 baseline trials pass; route API boundary remains simulator independent.</x:v>
      </x:c>
      <x:c r="E82" s="7" t="str">
        <x:v>Extension</x:v>
      </x:c>
      <x:c r="F82" s="7" t="str">
        <x:v>E3</x:v>
      </x:c>
      <x:c r="G82" s="7" t="str">
        <x:v>G4</x:v>
      </x:c>
      <x:c r="H82" s="7" t="str">
        <x:v>P1 should</x:v>
      </x:c>
      <x:c r="I82" s="7" t="str">
        <x:v>Abdullah</x:v>
      </x:c>
      <x:c r="J82" s="7" t="str">
        <x:f>IF(VLOOKUP(I82,'Team'!$A$2:$B$7,2,FALSE)="","",VLOOKUP(I82,'Team'!$A$2:$B$7,2,FALSE))</x:f>
      </x:c>
      <x:c r="K82" s="7" t="str">
        <x:v>Zhaolin</x:v>
      </x:c>
      <x:c r="L82" s="10" t="n">
        <x:v>46322</x:v>
      </x:c>
      <x:c r="M82" s="10" t="n">
        <x:v>46322</x:v>
      </x:c>
      <x:c r="N82" s="11" t="n">
        <x:v>2</x:v>
      </x:c>
      <x:c r="O82" s="7" t="str">
        <x:v>E3-04</x:v>
      </x:c>
      <x:c r="P82" s="7" t="str">
        <x:v>E3-06, G4-01</x:v>
      </x:c>
      <x:c r="Q82" s="7" t="str">
        <x:v>Y</x:v>
      </x:c>
      <x:c r="R82" s="7" t="str">
        <x:v>scripts/run_acceptance_suite.py</x:v>
      </x:c>
      <x:c r="S82" s="7" t="str">
        <x:v>Wayfinder admission report</x:v>
      </x:c>
      <x:c r="T82" s="7" t="str">
        <x:v>Extension and design decisions</x:v>
      </x:c>
      <x:c r="U82" s="7" t="str">
        <x:v>extension:e3;priority:p1;carla-required;category:extension</x:v>
      </x:c>
      <x:c r="V82" s="7" t="str">
        <x:v>Todo</x:v>
      </x:c>
      <x:c r="W82" s="7" t="str"/>
      <x:c r="X82" s="9" t="str">
        <x:v>Internal Sydney date. Estimate includes implementation, author checks and handoff; reviewer time is separately budgeted.</x:v>
      </x:c>
      <x:c r="Y82" s="12" t="n">
        <x:f>INT((M82-'Import Guide'!$B$3)/7)+1</x:f>
        <x:v>3</x:v>
      </x:c>
      <x:c r="Z82" s="12" t="str">
        <x:f>VLOOKUP(A82,'Dependencies'!$A$2:$G$224,7,FALSE)</x:f>
        <x:v>OK</x:v>
      </x:c>
      <x:c r="AA82" s="12" t="str">
        <x:f>IF(COUNTIFS('Milestones'!$A$2:$A$7,G82)&lt;&gt;1,"BAD GATE",IF(M82&lt;=VLOOKUP(G82,'Milestones'!$A$2:$C$7,3,FALSE),"OK","LATE"))</x:f>
        <x:v>OK</x:v>
      </x:c>
      <x:c r="AB82" s="12" t="n">
        <x:f>IF(OR(V82="Done",V82="Cut"),"",M82-TODAY())</x:f>
        <x:v>19</x:v>
      </x:c>
    </x:row>
    <x:row r="83" ht="90" customHeight="1">
      <x:c r="A83" s="7" t="str">
        <x:v>E3-06</x:v>
      </x:c>
      <x:c r="B83" s="7" t="str">
        <x:v>Decide lane-changing and blocked-edge rerouting scope</x:v>
      </x:c>
      <x:c r="C83" s="9" t="str">
        <x:v>Design v2 lane-change safety contract and HOLD edge-block reroute; estimate separately before implementation.</x:v>
      </x:c>
      <x:c r="D83" s="9" t="str">
        <x:v>Decision records defer v2 unless capacity and new scenario coverage exist; no untested code in live route.</x:v>
      </x:c>
      <x:c r="E83" s="7" t="str">
        <x:v>Extension</x:v>
      </x:c>
      <x:c r="F83" s="7" t="str">
        <x:v>E3</x:v>
      </x:c>
      <x:c r="G83" s="7" t="str">
        <x:v>G4</x:v>
      </x:c>
      <x:c r="H83" s="7" t="str">
        <x:v>P2 could</x:v>
      </x:c>
      <x:c r="I83" s="7" t="str">
        <x:v>Abdullah</x:v>
      </x:c>
      <x:c r="J83" s="7" t="str">
        <x:f>IF(VLOOKUP(I83,'Team'!$A$2:$B$7,2,FALSE)="","",VLOOKUP(I83,'Team'!$A$2:$B$7,2,FALSE))</x:f>
      </x:c>
      <x:c r="K83" s="7" t="str">
        <x:v>Zhaolin</x:v>
      </x:c>
      <x:c r="L83" s="10" t="n">
        <x:v>46323</x:v>
      </x:c>
      <x:c r="M83" s="10" t="n">
        <x:v>46323</x:v>
      </x:c>
      <x:c r="N83" s="11" t="n">
        <x:v>1</x:v>
      </x:c>
      <x:c r="O83" s="7" t="str">
        <x:v>E3-05</x:v>
      </x:c>
      <x:c r="P83" s="7" t="str"/>
      <x:c r="Q83" s="7" t="str">
        <x:v>N</x:v>
      </x:c>
      <x:c r="R83" s="7" t="str">
        <x:v>docs/decisions.md</x:v>
      </x:c>
      <x:c r="S83" s="7" t="str">
        <x:v>Wayfinder v2 decision and future backlog</x:v>
      </x:c>
      <x:c r="T83" s="7" t="str">
        <x:v>Extension and design decisions</x:v>
      </x:c>
      <x:c r="U83" s="7" t="str">
        <x:v>extension:e3;priority:p2;category:extension</x:v>
      </x:c>
      <x:c r="V83" s="7" t="str">
        <x:v>Todo</x:v>
      </x:c>
      <x:c r="W83" s="7" t="str"/>
      <x:c r="X83" s="9" t="str">
        <x:v>Internal Sydney date. Estimate includes implementation, author checks and handoff; reviewer time is separately budgeted. Conditional only; start if baseline is on track. First work to cut.</x:v>
      </x:c>
      <x:c r="Y83" s="12" t="n">
        <x:f>INT((M83-'Import Guide'!$B$3)/7)+1</x:f>
        <x:v>3</x:v>
      </x:c>
      <x:c r="Z83" s="12" t="str">
        <x:f>VLOOKUP(A83,'Dependencies'!$A$2:$G$224,7,FALSE)</x:f>
        <x:v>OK</x:v>
      </x:c>
      <x:c r="AA83" s="12" t="str">
        <x:f>IF(COUNTIFS('Milestones'!$A$2:$A$7,G83)&lt;&gt;1,"BAD GATE",IF(M83&lt;=VLOOKUP(G83,'Milestones'!$A$2:$C$7,3,FALSE),"OK","LATE"))</x:f>
        <x:v>OK</x:v>
      </x:c>
      <x:c r="AB83" s="12" t="n">
        <x:f>IF(OR(V83="Done",V83="Cut"),"",M83-TODAY())</x:f>
        <x:v>20</x:v>
      </x:c>
    </x:row>
    <x:row r="84" ht="90" customHeight="1">
      <x:c r="A84" s="7" t="str">
        <x:v>E4-01</x:v>
      </x:c>
      <x:c r="B84" s="7" t="str">
        <x:v>Specify remote protocol, sessions and timestamp domains</x:v>
      </x:c>
      <x:c r="C84" s="9" t="str">
        <x:v>Version request with run/session/frame IDs, capture/send timing, JPEG metadata; server returns boxes and duration.</x:v>
      </x:c>
      <x:c r="D84" s="9" t="str">
        <x:v>Contract rejects old/duplicate/out-of-order/session-mismatched responses; no cross-host timestamp subtraction.</x:v>
      </x:c>
      <x:c r="E84" s="7" t="str">
        <x:v>Extension</x:v>
      </x:c>
      <x:c r="F84" s="7" t="str">
        <x:v>E4</x:v>
      </x:c>
      <x:c r="G84" s="7" t="str">
        <x:v>G1</x:v>
      </x:c>
      <x:c r="H84" s="7" t="str">
        <x:v>P1 should</x:v>
      </x:c>
      <x:c r="I84" s="7" t="str">
        <x:v>Ricky</x:v>
      </x:c>
      <x:c r="J84" s="7" t="str">
        <x:f>IF(VLOOKUP(I84,'Team'!$A$2:$B$7,2,FALSE)="","",VLOOKUP(I84,'Team'!$A$2:$B$7,2,FALSE))</x:f>
      </x:c>
      <x:c r="K84" s="7" t="str">
        <x:v>Saviour</x:v>
      </x:c>
      <x:c r="L84" s="10" t="n">
        <x:v>46312</x:v>
      </x:c>
      <x:c r="M84" s="10" t="n">
        <x:v>46312</x:v>
      </x:c>
      <x:c r="N84" s="11" t="n">
        <x:v>2</x:v>
      </x:c>
      <x:c r="O84" s="7" t="str">
        <x:v>BL-C-02,BL-F-01</x:v>
      </x:c>
      <x:c r="P84" s="7" t="str">
        <x:v>E4-02, E4-04</x:v>
      </x:c>
      <x:c r="Q84" s="7" t="str">
        <x:v>N</x:v>
      </x:c>
      <x:c r="R84" s="7" t="str">
        <x:v>docs/cloud-protocol.md</x:v>
      </x:c>
      <x:c r="S84" s="7" t="str">
        <x:v>Protocol fixtures</x:v>
      </x:c>
      <x:c r="T84" s="7" t="str">
        <x:v>Extension and design decisions</x:v>
      </x:c>
      <x:c r="U84" s="7" t="str">
        <x:v>extension:e4;priority:p1;category:extension</x:v>
      </x:c>
      <x:c r="V84" s="7" t="str">
        <x:v>Todo</x:v>
      </x:c>
      <x:c r="W84" s="7" t="str"/>
      <x:c r="X84" s="9" t="str">
        <x:v>Internal Sydney date. Estimate includes implementation, author checks and handoff; reviewer time is separately budgeted.</x:v>
      </x:c>
      <x:c r="Y84" s="12" t="n">
        <x:f>INT((M84-'Import Guide'!$B$3)/7)+1</x:f>
        <x:v>1</x:v>
      </x:c>
      <x:c r="Z84" s="12" t="str">
        <x:f>VLOOKUP(A84,'Dependencies'!$A$2:$G$224,7,FALSE)</x:f>
        <x:v>OK</x:v>
      </x:c>
      <x:c r="AA84" s="12" t="str">
        <x:f>IF(COUNTIFS('Milestones'!$A$2:$A$7,G84)&lt;&gt;1,"BAD GATE",IF(M84&lt;=VLOOKUP(G84,'Milestones'!$A$2:$C$7,3,FALSE),"OK","LATE"))</x:f>
        <x:v>OK</x:v>
      </x:c>
      <x:c r="AB84" s="12" t="n">
        <x:f>IF(OR(V84="Done",V84="Cut"),"",M84-TODAY())</x:f>
        <x:v>9</x:v>
      </x:c>
    </x:row>
    <x:row r="85" ht="90" customHeight="1">
      <x:c r="A85" s="7" t="str">
        <x:v>E4-02</x:v>
      </x:c>
      <x:c r="B85" s="7" t="str">
        <x:v>Build inference server with isolated tracker sessions</x:v>
      </x:c>
      <x:c r="C85" s="9" t="str">
        <x:v>FastAPI service wraps same ObjectDetector; serialize per-session requests, bound queues and expire sessions.</x:v>
      </x:c>
      <x:c r="D85" s="9" t="str">
        <x:v>Two clients cannot share track state; reset and health endpoint tests pass using fake detector.</x:v>
      </x:c>
      <x:c r="E85" s="7" t="str">
        <x:v>Extension</x:v>
      </x:c>
      <x:c r="F85" s="7" t="str">
        <x:v>E4</x:v>
      </x:c>
      <x:c r="G85" s="7" t="str">
        <x:v>G1</x:v>
      </x:c>
      <x:c r="H85" s="7" t="str">
        <x:v>P1 should</x:v>
      </x:c>
      <x:c r="I85" s="7" t="str">
        <x:v>Ricky</x:v>
      </x:c>
      <x:c r="J85" s="7" t="str">
        <x:f>IF(VLOOKUP(I85,'Team'!$A$2:$B$7,2,FALSE)="","",VLOOKUP(I85,'Team'!$A$2:$B$7,2,FALSE))</x:f>
      </x:c>
      <x:c r="K85" s="7" t="str">
        <x:v>Saviour</x:v>
      </x:c>
      <x:c r="L85" s="10" t="n">
        <x:v>46313</x:v>
      </x:c>
      <x:c r="M85" s="10" t="n">
        <x:v>46313</x:v>
      </x:c>
      <x:c r="N85" s="11" t="n">
        <x:v>3</x:v>
      </x:c>
      <x:c r="O85" s="7" t="str">
        <x:v>E4-01</x:v>
      </x:c>
      <x:c r="P85" s="7" t="str">
        <x:v>E4-03</x:v>
      </x:c>
      <x:c r="Q85" s="7" t="str">
        <x:v>N</x:v>
      </x:c>
      <x:c r="R85" s="7" t="str">
        <x:v>src/cloud/server/</x:v>
      </x:c>
      <x:c r="S85" s="7" t="str">
        <x:v>Server unit tests</x:v>
      </x:c>
      <x:c r="T85" s="7" t="str">
        <x:v>Extension and design decisions</x:v>
      </x:c>
      <x:c r="U85" s="7" t="str">
        <x:v>extension:e4;priority:p1;category:extension</x:v>
      </x:c>
      <x:c r="V85" s="7" t="str">
        <x:v>Todo</x:v>
      </x:c>
      <x:c r="W85" s="7" t="str"/>
      <x:c r="X85" s="9" t="str">
        <x:v>Internal Sydney date. Estimate includes implementation, author checks and handoff; reviewer time is separately budgeted.</x:v>
      </x:c>
      <x:c r="Y85" s="12" t="n">
        <x:f>INT((M85-'Import Guide'!$B$3)/7)+1</x:f>
        <x:v>1</x:v>
      </x:c>
      <x:c r="Z85" s="12" t="str">
        <x:f>VLOOKUP(A85,'Dependencies'!$A$2:$G$224,7,FALSE)</x:f>
        <x:v>OK</x:v>
      </x:c>
      <x:c r="AA85" s="12" t="str">
        <x:f>IF(COUNTIFS('Milestones'!$A$2:$A$7,G85)&lt;&gt;1,"BAD GATE",IF(M85&lt;=VLOOKUP(G85,'Milestones'!$A$2:$C$7,3,FALSE),"OK","LATE"))</x:f>
        <x:v>OK</x:v>
      </x:c>
      <x:c r="AB85" s="12" t="n">
        <x:f>IF(OR(V85="Done",V85="Cut"),"",M85-TODAY())</x:f>
        <x:v>10</x:v>
      </x:c>
    </x:row>
    <x:row r="86" ht="90" customHeight="1">
      <x:c r="A86" s="7" t="str">
        <x:v>E4-03</x:v>
      </x:c>
      <x:c r="B86" s="7" t="str">
        <x:v>Package offline Docker service and model assets</x:v>
      </x:c>
      <x:c r="C86" s="9" t="str">
        <x:v>Pin dependency/model versions; no network downloads at first inference; endpoint/token from environment.</x:v>
      </x:c>
      <x:c r="D86" s="9" t="str">
        <x:v>Container starts with mounted local weights and documented resource limits; invalid JPEG/size rejected.</x:v>
      </x:c>
      <x:c r="E86" s="7" t="str">
        <x:v>Extension</x:v>
      </x:c>
      <x:c r="F86" s="7" t="str">
        <x:v>E4</x:v>
      </x:c>
      <x:c r="G86" s="7" t="str">
        <x:v>G2</x:v>
      </x:c>
      <x:c r="H86" s="7" t="str">
        <x:v>P1 should</x:v>
      </x:c>
      <x:c r="I86" s="7" t="str">
        <x:v>Ricky</x:v>
      </x:c>
      <x:c r="J86" s="7" t="str">
        <x:f>IF(VLOOKUP(I86,'Team'!$A$2:$B$7,2,FALSE)="","",VLOOKUP(I86,'Team'!$A$2:$B$7,2,FALSE))</x:f>
      </x:c>
      <x:c r="K86" s="7" t="str">
        <x:v>Saviour</x:v>
      </x:c>
      <x:c r="L86" s="10" t="n">
        <x:v>46314</x:v>
      </x:c>
      <x:c r="M86" s="10" t="n">
        <x:v>46314</x:v>
      </x:c>
      <x:c r="N86" s="11" t="n">
        <x:v>2.5</x:v>
      </x:c>
      <x:c r="O86" s="7" t="str">
        <x:v>E4-02</x:v>
      </x:c>
      <x:c r="P86" s="7" t="str">
        <x:v>E4-06</x:v>
      </x:c>
      <x:c r="Q86" s="7" t="str">
        <x:v>N</x:v>
      </x:c>
      <x:c r="R86" s="7" t="str">
        <x:v>src/cloud/server/Dockerfile; compose.yaml</x:v>
      </x:c>
      <x:c r="S86" s="7" t="str">
        <x:v>Local container smoke log</x:v>
      </x:c>
      <x:c r="T86" s="7" t="str">
        <x:v>Extension and design decisions</x:v>
      </x:c>
      <x:c r="U86" s="7" t="str">
        <x:v>extension:e4;priority:p1;category:extension</x:v>
      </x:c>
      <x:c r="V86" s="7" t="str">
        <x:v>Todo</x:v>
      </x:c>
      <x:c r="W86" s="7" t="str"/>
      <x:c r="X86" s="9" t="str">
        <x:v>Internal Sydney date. Estimate includes implementation, author checks and handoff; reviewer time is separately budgeted.</x:v>
      </x:c>
      <x:c r="Y86" s="12" t="n">
        <x:f>INT((M86-'Import Guide'!$B$3)/7)+1</x:f>
        <x:v>2</x:v>
      </x:c>
      <x:c r="Z86" s="12" t="str">
        <x:f>VLOOKUP(A86,'Dependencies'!$A$2:$G$224,7,FALSE)</x:f>
        <x:v>OK</x:v>
      </x:c>
      <x:c r="AA86" s="12" t="str">
        <x:f>IF(COUNTIFS('Milestones'!$A$2:$A$7,G86)&lt;&gt;1,"BAD GATE",IF(M86&lt;=VLOOKUP(G86,'Milestones'!$A$2:$C$7,3,FALSE),"OK","LATE"))</x:f>
        <x:v>OK</x:v>
      </x:c>
      <x:c r="AB86" s="12" t="n">
        <x:f>IF(OR(V86="Done",V86="Cut"),"",M86-TODAY())</x:f>
        <x:v>11</x:v>
      </x:c>
    </x:row>
    <x:row r="87" ht="90" customHeight="1">
      <x:c r="A87" s="7" t="str">
        <x:v>E4-04</x:v>
      </x:c>
      <x:c r="B87" s="7" t="str">
        <x:v>Implement nonblocking RemoteDetector and JPEG client</x:v>
      </x:c>
      <x:c r="C87" s="9" t="str">
        <x:v>Bound in-flight requests and deadlines; preserve frame IDs and enforce response schema.</x:v>
      </x:c>
      <x:c r="D87" s="9" t="str">
        <x:v>Mock server tests cover timeout/malformed/stale/out-of-order results; core control thread never blocks on HTTP.</x:v>
      </x:c>
      <x:c r="E87" s="7" t="str">
        <x:v>Extension</x:v>
      </x:c>
      <x:c r="F87" s="7" t="str">
        <x:v>E4</x:v>
      </x:c>
      <x:c r="G87" s="7" t="str">
        <x:v>G1</x:v>
      </x:c>
      <x:c r="H87" s="7" t="str">
        <x:v>P1 should</x:v>
      </x:c>
      <x:c r="I87" s="7" t="str">
        <x:v>Saviour</x:v>
      </x:c>
      <x:c r="J87" s="7" t="str">
        <x:f>IF(VLOOKUP(I87,'Team'!$A$2:$B$7,2,FALSE)="","",VLOOKUP(I87,'Team'!$A$2:$B$7,2,FALSE))</x:f>
      </x:c>
      <x:c r="K87" s="7" t="str">
        <x:v>Ricky</x:v>
      </x:c>
      <x:c r="L87" s="10" t="n">
        <x:v>46313</x:v>
      </x:c>
      <x:c r="M87" s="10" t="n">
        <x:v>46313</x:v>
      </x:c>
      <x:c r="N87" s="11" t="n">
        <x:v>2.5</x:v>
      </x:c>
      <x:c r="O87" s="7" t="str">
        <x:v>E4-01,BL-F-04</x:v>
      </x:c>
      <x:c r="P87" s="7" t="str">
        <x:v>E4-05</x:v>
      </x:c>
      <x:c r="Q87" s="7" t="str">
        <x:v>N</x:v>
      </x:c>
      <x:c r="R87" s="7" t="str">
        <x:v>src/cloud/remote_detector.py</x:v>
      </x:c>
      <x:c r="S87" s="7" t="str">
        <x:v>Remote client tests</x:v>
      </x:c>
      <x:c r="T87" s="7" t="str">
        <x:v>Extension and design decisions</x:v>
      </x:c>
      <x:c r="U87" s="7" t="str">
        <x:v>extension:e4;priority:p1;category:extension</x:v>
      </x:c>
      <x:c r="V87" s="7" t="str">
        <x:v>Todo</x:v>
      </x:c>
      <x:c r="W87" s="7" t="str"/>
      <x:c r="X87" s="9" t="str">
        <x:v>Internal Sydney date. Estimate includes implementation, author checks and handoff; reviewer time is separately budgeted.</x:v>
      </x:c>
      <x:c r="Y87" s="12" t="n">
        <x:f>INT((M87-'Import Guide'!$B$3)/7)+1</x:f>
        <x:v>1</x:v>
      </x:c>
      <x:c r="Z87" s="12" t="str">
        <x:f>VLOOKUP(A87,'Dependencies'!$A$2:$G$224,7,FALSE)</x:f>
        <x:v>OK</x:v>
      </x:c>
      <x:c r="AA87" s="12" t="str">
        <x:f>IF(COUNTIFS('Milestones'!$A$2:$A$7,G87)&lt;&gt;1,"BAD GATE",IF(M87&lt;=VLOOKUP(G87,'Milestones'!$A$2:$C$7,3,FALSE),"OK","LATE"))</x:f>
        <x:v>OK</x:v>
      </x:c>
      <x:c r="AB87" s="12" t="n">
        <x:f>IF(OR(V87="Done",V87="Cut"),"",M87-TODAY())</x:f>
        <x:v>10</x:v>
      </x:c>
    </x:row>
    <x:row r="88" ht="90" customHeight="1">
      <x:c r="A88" s="7" t="str">
        <x:v>E4-05</x:v>
      </x:c>
      <x:c r="B88" s="7" t="str">
        <x:v>Implement concurrent local fallback and recovery policy</x:v>
      </x:c>
      <x:c r="C88" s="9" t="str">
        <x:v>Keep local detector warm and independently runnable; remote preferred only if valid before deadline.</x:v>
      </x:c>
      <x:c r="D88" s="9" t="str">
        <x:v>Server failure chooses fresh local result within one tick; if both miss deadline, controlled stop; recovery hysteresis tested.</x:v>
      </x:c>
      <x:c r="E88" s="7" t="str">
        <x:v>Extension</x:v>
      </x:c>
      <x:c r="F88" s="7" t="str">
        <x:v>E4</x:v>
      </x:c>
      <x:c r="G88" s="7" t="str">
        <x:v>G2</x:v>
      </x:c>
      <x:c r="H88" s="7" t="str">
        <x:v>P1 should</x:v>
      </x:c>
      <x:c r="I88" s="7" t="str">
        <x:v>Saviour</x:v>
      </x:c>
      <x:c r="J88" s="7" t="str">
        <x:f>IF(VLOOKUP(I88,'Team'!$A$2:$B$7,2,FALSE)="","",VLOOKUP(I88,'Team'!$A$2:$B$7,2,FALSE))</x:f>
      </x:c>
      <x:c r="K88" s="7" t="str">
        <x:v>Ricky</x:v>
      </x:c>
      <x:c r="L88" s="10" t="n">
        <x:v>46314</x:v>
      </x:c>
      <x:c r="M88" s="10" t="n">
        <x:v>46314</x:v>
      </x:c>
      <x:c r="N88" s="11" t="n">
        <x:v>3</x:v>
      </x:c>
      <x:c r="O88" s="7" t="str">
        <x:v>E4-04,BL-C-04</x:v>
      </x:c>
      <x:c r="P88" s="7" t="str">
        <x:v>E4-06, E4-07</x:v>
      </x:c>
      <x:c r="Q88" s="7" t="str">
        <x:v>N</x:v>
      </x:c>
      <x:c r="R88" s="7" t="str">
        <x:v>src/cloud/hybrid_detector.py</x:v>
      </x:c>
      <x:c r="S88" s="7" t="str">
        <x:v>Hybrid failover unit tests</x:v>
      </x:c>
      <x:c r="T88" s="7" t="str">
        <x:v>Extension and design decisions</x:v>
      </x:c>
      <x:c r="U88" s="7" t="str">
        <x:v>extension:e4;priority:p1;category:extension</x:v>
      </x:c>
      <x:c r="V88" s="7" t="str">
        <x:v>Todo</x:v>
      </x:c>
      <x:c r="W88" s="7" t="str"/>
      <x:c r="X88" s="9" t="str">
        <x:v>Internal Sydney date. Estimate includes implementation, author checks and handoff; reviewer time is separately budgeted.</x:v>
      </x:c>
      <x:c r="Y88" s="12" t="n">
        <x:f>INT((M88-'Import Guide'!$B$3)/7)+1</x:f>
        <x:v>2</x:v>
      </x:c>
      <x:c r="Z88" s="12" t="str">
        <x:f>VLOOKUP(A88,'Dependencies'!$A$2:$G$224,7,FALSE)</x:f>
        <x:v>OK</x:v>
      </x:c>
      <x:c r="AA88" s="12" t="str">
        <x:f>IF(COUNTIFS('Milestones'!$A$2:$A$7,G88)&lt;&gt;1,"BAD GATE",IF(M88&lt;=VLOOKUP(G88,'Milestones'!$A$2:$C$7,3,FALSE),"OK","LATE"))</x:f>
        <x:v>OK</x:v>
      </x:c>
      <x:c r="AB88" s="12" t="n">
        <x:f>IF(OR(V88="Done",V88="Cut"),"",M88-TODAY())</x:f>
        <x:v>11</x:v>
      </x:c>
    </x:row>
    <x:row r="89" ht="90" customHeight="1">
      <x:c r="A89" s="7" t="str">
        <x:v>E4-06</x:v>
      </x:c>
      <x:c r="B89" s="7" t="str">
        <x:v>Test server-client sessions and tracker source switching</x:v>
      </x:c>
      <x:c r="C89" s="9" t="str">
        <x:v>Use replay through local Docker; maintain source namespaces and prevent resuming on an ID change.</x:v>
      </x:c>
      <x:c r="D89" s="9" t="str">
        <x:v>Multi-client, repeated episode, failure/recovery and backend switch fixtures pass without lost safety state.</x:v>
      </x:c>
      <x:c r="E89" s="7" t="str">
        <x:v>Extension</x:v>
      </x:c>
      <x:c r="F89" s="7" t="str">
        <x:v>E4</x:v>
      </x:c>
      <x:c r="G89" s="7" t="str">
        <x:v>G2</x:v>
      </x:c>
      <x:c r="H89" s="7" t="str">
        <x:v>P1 should</x:v>
      </x:c>
      <x:c r="I89" s="7" t="str">
        <x:v>Ricky</x:v>
      </x:c>
      <x:c r="J89" s="7" t="str">
        <x:f>IF(VLOOKUP(I89,'Team'!$A$2:$B$7,2,FALSE)="","",VLOOKUP(I89,'Team'!$A$2:$B$7,2,FALSE))</x:f>
      </x:c>
      <x:c r="K89" s="7" t="str">
        <x:v>Saviour</x:v>
      </x:c>
      <x:c r="L89" s="10" t="n">
        <x:v>46315</x:v>
      </x:c>
      <x:c r="M89" s="10" t="n">
        <x:v>46315</x:v>
      </x:c>
      <x:c r="N89" s="11" t="n">
        <x:v>2.5</x:v>
      </x:c>
      <x:c r="O89" s="7" t="str">
        <x:v>E4-03,E4-05</x:v>
      </x:c>
      <x:c r="P89" s="7" t="str">
        <x:v>E4-07, E4-08</x:v>
      </x:c>
      <x:c r="Q89" s="7" t="str">
        <x:v>N</x:v>
      </x:c>
      <x:c r="R89" s="7" t="str">
        <x:v>tests/integration/test_cloud.py</x:v>
      </x:c>
      <x:c r="S89" s="7" t="str">
        <x:v>Docker integration traces</x:v>
      </x:c>
      <x:c r="T89" s="7" t="str">
        <x:v>Extension and design decisions</x:v>
      </x:c>
      <x:c r="U89" s="7" t="str">
        <x:v>extension:e4;priority:p1;category:extension</x:v>
      </x:c>
      <x:c r="V89" s="7" t="str">
        <x:v>Todo</x:v>
      </x:c>
      <x:c r="W89" s="7" t="str"/>
      <x:c r="X89" s="9" t="str">
        <x:v>Internal Sydney date. Estimate includes implementation, author checks and handoff; reviewer time is separately budgeted.</x:v>
      </x:c>
      <x:c r="Y89" s="12" t="n">
        <x:f>INT((M89-'Import Guide'!$B$3)/7)+1</x:f>
        <x:v>2</x:v>
      </x:c>
      <x:c r="Z89" s="12" t="str">
        <x:f>VLOOKUP(A89,'Dependencies'!$A$2:$G$224,7,FALSE)</x:f>
        <x:v>OK</x:v>
      </x:c>
      <x:c r="AA89" s="12" t="str">
        <x:f>IF(COUNTIFS('Milestones'!$A$2:$A$7,G89)&lt;&gt;1,"BAD GATE",IF(M89&lt;=VLOOKUP(G89,'Milestones'!$A$2:$C$7,3,FALSE),"OK","LATE"))</x:f>
        <x:v>OK</x:v>
      </x:c>
      <x:c r="AB89" s="12" t="n">
        <x:f>IF(OR(V89="Done",V89="Cut"),"",M89-TODAY())</x:f>
        <x:v>12</x:v>
      </x:c>
    </x:row>
    <x:row r="90" ht="90" customHeight="1">
      <x:c r="A90" s="7" t="str">
        <x:v>E4-07</x:v>
      </x:c>
      <x:c r="B90" s="7" t="str">
        <x:v>Build latency sweep and breakdown script</x:v>
      </x:c>
      <x:c r="C90" s="9" t="str">
        <x:v>Measure client end-to-end, encode/decode and server duration; RTT residual includes transfer/queue uncertainty.</x:v>
      </x:c>
      <x:c r="D90" s="9" t="str">
        <x:v>p50/p95/max and deadline-miss rate by image size/JPEG quality; no fake separate upload/download timing.</x:v>
      </x:c>
      <x:c r="E90" s="7" t="str">
        <x:v>Extension</x:v>
      </x:c>
      <x:c r="F90" s="7" t="str">
        <x:v>E4</x:v>
      </x:c>
      <x:c r="G90" s="7" t="str">
        <x:v>G2</x:v>
      </x:c>
      <x:c r="H90" s="7" t="str">
        <x:v>P1 should</x:v>
      </x:c>
      <x:c r="I90" s="7" t="str">
        <x:v>Saviour</x:v>
      </x:c>
      <x:c r="J90" s="7" t="str">
        <x:f>IF(VLOOKUP(I90,'Team'!$A$2:$B$7,2,FALSE)="","",VLOOKUP(I90,'Team'!$A$2:$B$7,2,FALSE))</x:f>
      </x:c>
      <x:c r="K90" s="7" t="str">
        <x:v>Ricky</x:v>
      </x:c>
      <x:c r="L90" s="10" t="n">
        <x:v>46316</x:v>
      </x:c>
      <x:c r="M90" s="10" t="n">
        <x:v>46316</x:v>
      </x:c>
      <x:c r="N90" s="11" t="n">
        <x:v>2</x:v>
      </x:c>
      <x:c r="O90" s="7" t="str">
        <x:v>E4-05,E4-06</x:v>
      </x:c>
      <x:c r="P90" s="7" t="str">
        <x:v>E4-09, DOC-03</x:v>
      </x:c>
      <x:c r="Q90" s="7" t="str">
        <x:v>N</x:v>
      </x:c>
      <x:c r="R90" s="7" t="str">
        <x:v>scripts/latency_speed_test.py</x:v>
      </x:c>
      <x:c r="S90" s="7" t="str">
        <x:v>Replay latency CSV and plots</x:v>
      </x:c>
      <x:c r="T90" s="7" t="str">
        <x:v>Extension and design decisions</x:v>
      </x:c>
      <x:c r="U90" s="7" t="str">
        <x:v>extension:e4;priority:p1;category:extension</x:v>
      </x:c>
      <x:c r="V90" s="7" t="str">
        <x:v>Todo</x:v>
      </x:c>
      <x:c r="W90" s="7" t="str"/>
      <x:c r="X90" s="9" t="str">
        <x:v>Internal Sydney date. Estimate includes implementation, author checks and handoff; reviewer time is separately budgeted.</x:v>
      </x:c>
      <x:c r="Y90" s="12" t="n">
        <x:f>INT((M90-'Import Guide'!$B$3)/7)+1</x:f>
        <x:v>2</x:v>
      </x:c>
      <x:c r="Z90" s="12" t="str">
        <x:f>VLOOKUP(A90,'Dependencies'!$A$2:$G$224,7,FALSE)</x:f>
        <x:v>OK</x:v>
      </x:c>
      <x:c r="AA90" s="12" t="str">
        <x:f>IF(COUNTIFS('Milestones'!$A$2:$A$7,G90)&lt;&gt;1,"BAD GATE",IF(M90&lt;=VLOOKUP(G90,'Milestones'!$A$2:$C$7,3,FALSE),"OK","LATE"))</x:f>
        <x:v>OK</x:v>
      </x:c>
      <x:c r="AB90" s="12" t="n">
        <x:f>IF(OR(V90="Done",V90="Cut"),"",M90-TODAY())</x:f>
        <x:v>13</x:v>
      </x:c>
    </x:row>
    <x:row r="91" ht="90" customHeight="1">
      <x:c r="A91" s="7" t="str">
        <x:v>E4-08</x:v>
      </x:c>
      <x:c r="B91" s="7" t="str">
        <x:v>Prepare optional cloud deployment and reproduce local server</x:v>
      </x:c>
      <x:c r="C91" s="9" t="str">
        <x:v>Document provider-neutral container deploy, HTTPS/token and budget cap; deploy only to supplied authorized account.</x:v>
      </x:c>
      <x:c r="D91" s="9" t="str">
        <x:v>Local Docker works offline; cloud endpoint/provisioning status explicit; no claimed cloud speedup without measurement.</x:v>
      </x:c>
      <x:c r="E91" s="7" t="str">
        <x:v>Extension</x:v>
      </x:c>
      <x:c r="F91" s="7" t="str">
        <x:v>E4</x:v>
      </x:c>
      <x:c r="G91" s="7" t="str">
        <x:v>G3</x:v>
      </x:c>
      <x:c r="H91" s="7" t="str">
        <x:v>P1 should</x:v>
      </x:c>
      <x:c r="I91" s="7" t="str">
        <x:v>Ricky</x:v>
      </x:c>
      <x:c r="J91" s="7" t="str">
        <x:f>IF(VLOOKUP(I91,'Team'!$A$2:$B$7,2,FALSE)="","",VLOOKUP(I91,'Team'!$A$2:$B$7,2,FALSE))</x:f>
      </x:c>
      <x:c r="K91" s="7" t="str">
        <x:v>Saviour</x:v>
      </x:c>
      <x:c r="L91" s="10" t="n">
        <x:v>46318</x:v>
      </x:c>
      <x:c r="M91" s="10" t="n">
        <x:v>46318</x:v>
      </x:c>
      <x:c r="N91" s="11" t="n">
        <x:v>2.5</x:v>
      </x:c>
      <x:c r="O91" s="7" t="str">
        <x:v>E4-06</x:v>
      </x:c>
      <x:c r="P91" s="7" t="str">
        <x:v>E4-09</x:v>
      </x:c>
      <x:c r="Q91" s="7" t="str">
        <x:v>N</x:v>
      </x:c>
      <x:c r="R91" s="7" t="str">
        <x:v>src/cloud/server/; docs/cloud.md</x:v>
      </x:c>
      <x:c r="S91" s="7" t="str">
        <x:v>Deployment recipe and local manifest</x:v>
      </x:c>
      <x:c r="T91" s="7" t="str">
        <x:v>Extension and design decisions</x:v>
      </x:c>
      <x:c r="U91" s="7" t="str">
        <x:v>extension:e4;priority:p1;category:extension</x:v>
      </x:c>
      <x:c r="V91" s="7" t="str">
        <x:v>Todo</x:v>
      </x:c>
      <x:c r="W91" s="7" t="str"/>
      <x:c r="X91" s="9" t="str">
        <x:v>Internal Sydney date. Estimate includes implementation, author checks and handoff; reviewer time is separately budgeted.</x:v>
      </x:c>
      <x:c r="Y91" s="12" t="n">
        <x:f>INT((M91-'Import Guide'!$B$3)/7)+1</x:f>
        <x:v>2</x:v>
      </x:c>
      <x:c r="Z91" s="12" t="str">
        <x:f>VLOOKUP(A91,'Dependencies'!$A$2:$G$224,7,FALSE)</x:f>
        <x:v>OK</x:v>
      </x:c>
      <x:c r="AA91" s="12" t="str">
        <x:f>IF(COUNTIFS('Milestones'!$A$2:$A$7,G91)&lt;&gt;1,"BAD GATE",IF(M91&lt;=VLOOKUP(G91,'Milestones'!$A$2:$C$7,3,FALSE),"OK","LATE"))</x:f>
        <x:v>OK</x:v>
      </x:c>
      <x:c r="AB91" s="12" t="n">
        <x:f>IF(OR(V91="Done",V91="Cut"),"",M91-TODAY())</x:f>
        <x:v>15</x:v>
      </x:c>
    </x:row>
    <x:row r="92" ht="90" customHeight="1">
      <x:c r="A92" s="7" t="str">
        <x:v>E4-09</x:v>
      </x:c>
      <x:c r="B92" s="7" t="str">
        <x:v>Compare local, LAN and available cloud inference</x:v>
      </x:c>
      <x:c r="C92" s="9" t="str">
        <x:v>Use identical replay/model/hardware notes with warmup and &gt;=200 frames/config; unavailable cloud marked NOT RUN.</x:v>
      </x:c>
      <x:c r="D92" s="9" t="str">
        <x:v>Comparable latency/accuracy table and miss rates; upload/download one-way estimates labelled unless synchronized.</x:v>
      </x:c>
      <x:c r="E92" s="7" t="str">
        <x:v>Extension</x:v>
      </x:c>
      <x:c r="F92" s="7" t="str">
        <x:v>E4</x:v>
      </x:c>
      <x:c r="G92" s="7" t="str">
        <x:v>G3</x:v>
      </x:c>
      <x:c r="H92" s="7" t="str">
        <x:v>P1 should</x:v>
      </x:c>
      <x:c r="I92" s="7" t="str">
        <x:v>Saviour</x:v>
      </x:c>
      <x:c r="J92" s="7" t="str">
        <x:f>IF(VLOOKUP(I92,'Team'!$A$2:$B$7,2,FALSE)="","",VLOOKUP(I92,'Team'!$A$2:$B$7,2,FALSE))</x:f>
      </x:c>
      <x:c r="K92" s="7" t="str">
        <x:v>Ricky</x:v>
      </x:c>
      <x:c r="L92" s="10" t="n">
        <x:v>46319</x:v>
      </x:c>
      <x:c r="M92" s="10" t="n">
        <x:v>46319</x:v>
      </x:c>
      <x:c r="N92" s="11" t="n">
        <x:v>2</x:v>
      </x:c>
      <x:c r="O92" s="7" t="str">
        <x:v>E4-07,E4-08</x:v>
      </x:c>
      <x:c r="P92" s="7" t="str">
        <x:v>E4-10, E4-11</x:v>
      </x:c>
      <x:c r="Q92" s="7" t="str">
        <x:v>N</x:v>
      </x:c>
      <x:c r="R92" s="7" t="str">
        <x:v>scripts/latency_speed_test.py</x:v>
      </x:c>
      <x:c r="S92" s="7" t="str">
        <x:v>Latency comparison evidence</x:v>
      </x:c>
      <x:c r="T92" s="7" t="str">
        <x:v>Extension and design decisions</x:v>
      </x:c>
      <x:c r="U92" s="7" t="str">
        <x:v>extension:e4;priority:p1;category:extension</x:v>
      </x:c>
      <x:c r="V92" s="7" t="str">
        <x:v>Todo</x:v>
      </x:c>
      <x:c r="W92" s="7" t="str"/>
      <x:c r="X92" s="9" t="str">
        <x:v>Internal Sydney date. Estimate includes implementation, author checks and handoff; reviewer time is separately budgeted.</x:v>
      </x:c>
      <x:c r="Y92" s="12" t="n">
        <x:f>INT((M92-'Import Guide'!$B$3)/7)+1</x:f>
        <x:v>2</x:v>
      </x:c>
      <x:c r="Z92" s="12" t="str">
        <x:f>VLOOKUP(A92,'Dependencies'!$A$2:$G$224,7,FALSE)</x:f>
        <x:v>OK</x:v>
      </x:c>
      <x:c r="AA92" s="12" t="str">
        <x:f>IF(COUNTIFS('Milestones'!$A$2:$A$7,G92)&lt;&gt;1,"BAD GATE",IF(M92&lt;=VLOOKUP(G92,'Milestones'!$A$2:$C$7,3,FALSE),"OK","LATE"))</x:f>
        <x:v>OK</x:v>
      </x:c>
      <x:c r="AB92" s="12" t="n">
        <x:f>IF(OR(V92="Done",V92="Cut"),"",M92-TODAY())</x:f>
        <x:v>16</x:v>
      </x:c>
    </x:row>
    <x:row r="93" ht="90" customHeight="1">
      <x:c r="A93" s="7" t="str">
        <x:v>E4-10</x:v>
      </x:c>
      <x:c r="B93" s="7" t="str">
        <x:v>Verify cloud outage, restart and session cleanup offline</x:v>
      </x:c>
      <x:c r="C93" s="9" t="str">
        <x:v>Kill server mid-sequence; repeat delayed response and rapid restart with new session.</x:v>
      </x:c>
      <x:c r="D93" s="9" t="str">
        <x:v>No old-session results applied; deadline misses do not advance clear-frame counter; local service logs preserved.</x:v>
      </x:c>
      <x:c r="E93" s="7" t="str">
        <x:v>Extension</x:v>
      </x:c>
      <x:c r="F93" s="7" t="str">
        <x:v>E4</x:v>
      </x:c>
      <x:c r="G93" s="7" t="str">
        <x:v>G4</x:v>
      </x:c>
      <x:c r="H93" s="7" t="str">
        <x:v>P1 should</x:v>
      </x:c>
      <x:c r="I93" s="7" t="str">
        <x:v>Ricky</x:v>
      </x:c>
      <x:c r="J93" s="7" t="str">
        <x:f>IF(VLOOKUP(I93,'Team'!$A$2:$B$7,2,FALSE)="","",VLOOKUP(I93,'Team'!$A$2:$B$7,2,FALSE))</x:f>
      </x:c>
      <x:c r="K93" s="7" t="str">
        <x:v>Saviour</x:v>
      </x:c>
      <x:c r="L93" s="10" t="n">
        <x:v>46321</x:v>
      </x:c>
      <x:c r="M93" s="10" t="n">
        <x:v>46321</x:v>
      </x:c>
      <x:c r="N93" s="11" t="n">
        <x:v>2</x:v>
      </x:c>
      <x:c r="O93" s="7" t="str">
        <x:v>G3-01,E4-09</x:v>
      </x:c>
      <x:c r="P93" s="7" t="str">
        <x:v>E4-12, E4-13, DOC-06, TEST-18</x:v>
      </x:c>
      <x:c r="Q93" s="7" t="str">
        <x:v>N</x:v>
      </x:c>
      <x:c r="R93" s="7" t="str">
        <x:v>tests/integration/test_cloud.py</x:v>
      </x:c>
      <x:c r="S93" s="7" t="str">
        <x:v>Fault-injection evidence</x:v>
      </x:c>
      <x:c r="T93" s="7" t="str">
        <x:v>Extension and design decisions</x:v>
      </x:c>
      <x:c r="U93" s="7" t="str">
        <x:v>extension:e4;priority:p1;category:extension</x:v>
      </x:c>
      <x:c r="V93" s="7" t="str">
        <x:v>Todo</x:v>
      </x:c>
      <x:c r="W93" s="7" t="str"/>
      <x:c r="X93" s="9" t="str">
        <x:v>Internal Sydney date. Estimate includes implementation, author checks and handoff; reviewer time is separately budgeted.</x:v>
      </x:c>
      <x:c r="Y93" s="12" t="n">
        <x:f>INT((M93-'Import Guide'!$B$3)/7)+1</x:f>
        <x:v>3</x:v>
      </x:c>
      <x:c r="Z93" s="12" t="str">
        <x:f>VLOOKUP(A93,'Dependencies'!$A$2:$G$224,7,FALSE)</x:f>
        <x:v>OK</x:v>
      </x:c>
      <x:c r="AA93" s="12" t="str">
        <x:f>IF(COUNTIFS('Milestones'!$A$2:$A$7,G93)&lt;&gt;1,"BAD GATE",IF(M93&lt;=VLOOKUP(G93,'Milestones'!$A$2:$C$7,3,FALSE),"OK","LATE"))</x:f>
        <x:v>OK</x:v>
      </x:c>
      <x:c r="AB93" s="12" t="n">
        <x:f>IF(OR(V93="Done",V93="Cut"),"",M93-TODAY())</x:f>
        <x:v>18</x:v>
      </x:c>
    </x:row>
    <x:row r="94" ht="90" customHeight="1">
      <x:c r="A94" s="7" t="str">
        <x:v>E4-11</x:v>
      </x:c>
      <x:c r="B94" s="7" t="str">
        <x:v>Run CARLA cloud failover on demo-class hardware</x:v>
      </x:c>
      <x:c r="C94" s="9" t="str">
        <x:v>Ricky/Saviour supply service; Zhaolin runs CARLA and kills server; repeat resource-contention case.</x:v>
      </x:c>
      <x:c r="D94" s="9" t="str">
        <x:v>Fallback within one control tick when fresh local exists; otherwise stop; measure actual frame age and loop p95.</x:v>
      </x:c>
      <x:c r="E94" s="7" t="str">
        <x:v>Extension</x:v>
      </x:c>
      <x:c r="F94" s="7" t="str">
        <x:v>E4</x:v>
      </x:c>
      <x:c r="G94" s="7" t="str">
        <x:v>G4</x:v>
      </x:c>
      <x:c r="H94" s="7" t="str">
        <x:v>P1 should</x:v>
      </x:c>
      <x:c r="I94" s="7" t="str">
        <x:v>Zhaolin</x:v>
      </x:c>
      <x:c r="J94" s="7" t="str">
        <x:f>IF(VLOOKUP(I94,'Team'!$A$2:$B$7,2,FALSE)="","",VLOOKUP(I94,'Team'!$A$2:$B$7,2,FALSE))</x:f>
      </x:c>
      <x:c r="K94" s="7" t="str">
        <x:v>Abdullah</x:v>
      </x:c>
      <x:c r="L94" s="10" t="n">
        <x:v>46321</x:v>
      </x:c>
      <x:c r="M94" s="10" t="n">
        <x:v>46321</x:v>
      </x:c>
      <x:c r="N94" s="11" t="n">
        <x:v>2.5</x:v>
      </x:c>
      <x:c r="O94" s="7" t="str">
        <x:v>G3-01,E4-09</x:v>
      </x:c>
      <x:c r="P94" s="7" t="str">
        <x:v>E4-12, TEST-11</x:v>
      </x:c>
      <x:c r="Q94" s="7" t="str">
        <x:v>Y</x:v>
      </x:c>
      <x:c r="R94" s="7" t="str">
        <x:v>configs/scenarios/cloud_failover.yaml</x:v>
      </x:c>
      <x:c r="S94" s="7" t="str">
        <x:v>CARLA failover video and timing</x:v>
      </x:c>
      <x:c r="T94" s="7" t="str">
        <x:v>Extension and design decisions</x:v>
      </x:c>
      <x:c r="U94" s="7" t="str">
        <x:v>extension:e4;priority:p1;carla-required;category:extension</x:v>
      </x:c>
      <x:c r="V94" s="7" t="str">
        <x:v>Todo</x:v>
      </x:c>
      <x:c r="W94" s="7" t="str"/>
      <x:c r="X94" s="9" t="str">
        <x:v>Internal Sydney date. Estimate includes implementation, author checks and handoff; reviewer time is separately budgeted.</x:v>
      </x:c>
      <x:c r="Y94" s="12" t="n">
        <x:f>INT((M94-'Import Guide'!$B$3)/7)+1</x:f>
        <x:v>3</x:v>
      </x:c>
      <x:c r="Z94" s="12" t="str">
        <x:f>VLOOKUP(A94,'Dependencies'!$A$2:$G$224,7,FALSE)</x:f>
        <x:v>OK</x:v>
      </x:c>
      <x:c r="AA94" s="12" t="str">
        <x:f>IF(COUNTIFS('Milestones'!$A$2:$A$7,G94)&lt;&gt;1,"BAD GATE",IF(M94&lt;=VLOOKUP(G94,'Milestones'!$A$2:$C$7,3,FALSE),"OK","LATE"))</x:f>
        <x:v>OK</x:v>
      </x:c>
      <x:c r="AB94" s="12" t="n">
        <x:f>IF(OR(V94="Done",V94="Cut"),"",M94-TODAY())</x:f>
        <x:v>18</x:v>
      </x:c>
    </x:row>
    <x:row r="95" ht="90" customHeight="1">
      <x:c r="A95" s="7" t="str">
        <x:v>E4-12</x:v>
      </x:c>
      <x:c r="B95" s="7" t="str">
        <x:v>Run full baseline regression with hybrid flag enabled</x:v>
      </x:c>
      <x:c r="C95" s="9" t="str">
        <x:v>S0-S5 five trials each with offline local server/forced failures; online cloud remains optional.</x:v>
      </x:c>
      <x:c r="D95" s="9" t="str">
        <x:v>30 trials pass; include server-off interval; local GPU contention and deadline misses reported.</x:v>
      </x:c>
      <x:c r="E95" s="7" t="str">
        <x:v>Extension</x:v>
      </x:c>
      <x:c r="F95" s="7" t="str">
        <x:v>E4</x:v>
      </x:c>
      <x:c r="G95" s="7" t="str">
        <x:v>G4</x:v>
      </x:c>
      <x:c r="H95" s="7" t="str">
        <x:v>P1 should</x:v>
      </x:c>
      <x:c r="I95" s="7" t="str">
        <x:v>Alan</x:v>
      </x:c>
      <x:c r="J95" s="7" t="str">
        <x:f>IF(VLOOKUP(I95,'Team'!$A$2:$B$7,2,FALSE)="","",VLOOKUP(I95,'Team'!$A$2:$B$7,2,FALSE))</x:f>
      </x:c>
      <x:c r="K95" s="7" t="str">
        <x:v>Mohammad</x:v>
      </x:c>
      <x:c r="L95" s="10" t="n">
        <x:v>46322</x:v>
      </x:c>
      <x:c r="M95" s="10" t="n">
        <x:v>46322</x:v>
      </x:c>
      <x:c r="N95" s="11" t="n">
        <x:v>2</x:v>
      </x:c>
      <x:c r="O95" s="7" t="str">
        <x:v>E4-10,E4-11</x:v>
      </x:c>
      <x:c r="P95" s="7" t="str">
        <x:v>G4-01</x:v>
      </x:c>
      <x:c r="Q95" s="7" t="str">
        <x:v>Y</x:v>
      </x:c>
      <x:c r="R95" s="7" t="str">
        <x:v>scripts/run_acceptance_suite.py</x:v>
      </x:c>
      <x:c r="S95" s="7" t="str">
        <x:v>Hybrid admission report</x:v>
      </x:c>
      <x:c r="T95" s="7" t="str">
        <x:v>Extension and design decisions</x:v>
      </x:c>
      <x:c r="U95" s="7" t="str">
        <x:v>extension:e4;priority:p1;carla-required;category:extension</x:v>
      </x:c>
      <x:c r="V95" s="7" t="str">
        <x:v>Todo</x:v>
      </x:c>
      <x:c r="W95" s="7" t="str"/>
      <x:c r="X95" s="9" t="str">
        <x:v>Internal Sydney date. Estimate includes implementation, author checks and handoff; reviewer time is separately budgeted.</x:v>
      </x:c>
      <x:c r="Y95" s="12" t="n">
        <x:f>INT((M95-'Import Guide'!$B$3)/7)+1</x:f>
        <x:v>3</x:v>
      </x:c>
      <x:c r="Z95" s="12" t="str">
        <x:f>VLOOKUP(A95,'Dependencies'!$A$2:$G$224,7,FALSE)</x:f>
        <x:v>OK</x:v>
      </x:c>
      <x:c r="AA95" s="12" t="str">
        <x:f>IF(COUNTIFS('Milestones'!$A$2:$A$7,G95)&lt;&gt;1,"BAD GATE",IF(M95&lt;=VLOOKUP(G95,'Milestones'!$A$2:$C$7,3,FALSE),"OK","LATE"))</x:f>
        <x:v>OK</x:v>
      </x:c>
      <x:c r="AB95" s="12" t="n">
        <x:f>IF(OR(V95="Done",V95="Cut"),"",M95-TODAY())</x:f>
        <x:v>19</x:v>
      </x:c>
    </x:row>
    <x:row r="96" ht="90" customHeight="1">
      <x:c r="A96" s="7" t="str">
        <x:v>E4-13</x:v>
      </x:c>
      <x:c r="B96" s="7" t="str">
        <x:v>Decide whether to add a remote Wayfinder endpoint</x:v>
      </x:c>
      <x:c r="C96" s="9" t="str">
        <x:v>Reuse plain graph and route output only if E3 is stable and evidence/report time remains.</x:v>
      </x:c>
      <x:c r="D96" s="9" t="str">
        <x:v>Recorded defer/admit decision; server endpoint excluded from required offline demo.</x:v>
      </x:c>
      <x:c r="E96" s="7" t="str">
        <x:v>Extension</x:v>
      </x:c>
      <x:c r="F96" s="7" t="str">
        <x:v>E4</x:v>
      </x:c>
      <x:c r="G96" s="7" t="str">
        <x:v>G4</x:v>
      </x:c>
      <x:c r="H96" s="7" t="str">
        <x:v>P2 could</x:v>
      </x:c>
      <x:c r="I96" s="7" t="str">
        <x:v>Ricky</x:v>
      </x:c>
      <x:c r="J96" s="7" t="str">
        <x:f>IF(VLOOKUP(I96,'Team'!$A$2:$B$7,2,FALSE)="","",VLOOKUP(I96,'Team'!$A$2:$B$7,2,FALSE))</x:f>
      </x:c>
      <x:c r="K96" s="7" t="str">
        <x:v>Saviour</x:v>
      </x:c>
      <x:c r="L96" s="10" t="n">
        <x:v>46323</x:v>
      </x:c>
      <x:c r="M96" s="10" t="n">
        <x:v>46323</x:v>
      </x:c>
      <x:c r="N96" s="11" t="n">
        <x:v>1</x:v>
      </x:c>
      <x:c r="O96" s="7" t="str">
        <x:v>E4-10</x:v>
      </x:c>
      <x:c r="P96" s="7" t="str"/>
      <x:c r="Q96" s="7" t="str">
        <x:v>N</x:v>
      </x:c>
      <x:c r="R96" s="7" t="str">
        <x:v>docs/decisions.md</x:v>
      </x:c>
      <x:c r="S96" s="7" t="str">
        <x:v>Remote routing decision</x:v>
      </x:c>
      <x:c r="T96" s="7" t="str">
        <x:v>Extension and design decisions</x:v>
      </x:c>
      <x:c r="U96" s="7" t="str">
        <x:v>extension:e4;priority:p2;category:extension</x:v>
      </x:c>
      <x:c r="V96" s="7" t="str">
        <x:v>Todo</x:v>
      </x:c>
      <x:c r="W96" s="7" t="str"/>
      <x:c r="X96" s="9" t="str">
        <x:v>Internal Sydney date. Estimate includes implementation, author checks and handoff; reviewer time is separately budgeted. Conditional only; start if baseline is on track. First work to cut.</x:v>
      </x:c>
      <x:c r="Y96" s="12" t="n">
        <x:f>INT((M96-'Import Guide'!$B$3)/7)+1</x:f>
        <x:v>3</x:v>
      </x:c>
      <x:c r="Z96" s="12" t="str">
        <x:f>VLOOKUP(A96,'Dependencies'!$A$2:$G$224,7,FALSE)</x:f>
        <x:v>OK</x:v>
      </x:c>
      <x:c r="AA96" s="12" t="str">
        <x:f>IF(COUNTIFS('Milestones'!$A$2:$A$7,G96)&lt;&gt;1,"BAD GATE",IF(M96&lt;=VLOOKUP(G96,'Milestones'!$A$2:$C$7,3,FALSE),"OK","LATE"))</x:f>
        <x:v>OK</x:v>
      </x:c>
      <x:c r="AB96" s="12" t="n">
        <x:f>IF(OR(V96="Done",V96="Cut"),"",M96-TODAY())</x:f>
        <x:v>20</x:v>
      </x:c>
    </x:row>
    <x:row r="97" ht="90" customHeight="1">
      <x:c r="A97" s="7" t="str">
        <x:v>E5-01</x:v>
      </x:c>
      <x:c r="B97" s="7" t="str">
        <x:v>Specify forward parking goal and signed motion hook</x:v>
      </x:c>
      <x:c r="C97" s="9" t="str">
        <x:v>Define bay pose/clearance, final heading and DRIVE/PARK mode; preserve A1 nonnegative VehicleState.</x:v>
      </x:c>
      <x:c r="D97" s="9" t="str">
        <x:v>MotionState carries signed speed only in new API; PARK defaults off; P1 target &lt;=0.3 m and &lt;=5 deg.</x:v>
      </x:c>
      <x:c r="E97" s="7" t="str">
        <x:v>Extension</x:v>
      </x:c>
      <x:c r="F97" s="7" t="str">
        <x:v>E5</x:v>
      </x:c>
      <x:c r="G97" s="7" t="str">
        <x:v>G1</x:v>
      </x:c>
      <x:c r="H97" s="7" t="str">
        <x:v>P1 should</x:v>
      </x:c>
      <x:c r="I97" s="7" t="str">
        <x:v>Zhaolin</x:v>
      </x:c>
      <x:c r="J97" s="7" t="str">
        <x:f>IF(VLOOKUP(I97,'Team'!$A$2:$B$7,2,FALSE)="","",VLOOKUP(I97,'Team'!$A$2:$B$7,2,FALSE))</x:f>
      </x:c>
      <x:c r="K97" s="7" t="str">
        <x:v>Abdullah</x:v>
      </x:c>
      <x:c r="L97" s="10" t="n">
        <x:v>46312</x:v>
      </x:c>
      <x:c r="M97" s="10" t="n">
        <x:v>46312</x:v>
      </x:c>
      <x:c r="N97" s="11" t="n">
        <x:v>2</x:v>
      </x:c>
      <x:c r="O97" s="7" t="str">
        <x:v>BL-A-05,BL-C-01</x:v>
      </x:c>
      <x:c r="P97" s="7" t="str">
        <x:v>E5-02</x:v>
      </x:c>
      <x:c r="Q97" s="7" t="str">
        <x:v>N</x:v>
      </x:c>
      <x:c r="R97" s="7" t="str">
        <x:v>docs/parking.md; src/autonomy/interfaces.py</x:v>
      </x:c>
      <x:c r="S97" s="7" t="str">
        <x:v>Parking interface contract</x:v>
      </x:c>
      <x:c r="T97" s="7" t="str">
        <x:v>Extension and design decisions</x:v>
      </x:c>
      <x:c r="U97" s="7" t="str">
        <x:v>extension:e5;priority:p1;category:extension</x:v>
      </x:c>
      <x:c r="V97" s="7" t="str">
        <x:v>Todo</x:v>
      </x:c>
      <x:c r="W97" s="7" t="str"/>
      <x:c r="X97" s="9" t="str">
        <x:v>Internal Sydney date. Estimate includes implementation, author checks and handoff; reviewer time is separately budgeted.</x:v>
      </x:c>
      <x:c r="Y97" s="12" t="n">
        <x:f>INT((M97-'Import Guide'!$B$3)/7)+1</x:f>
        <x:v>1</x:v>
      </x:c>
      <x:c r="Z97" s="12" t="str">
        <x:f>VLOOKUP(A97,'Dependencies'!$A$2:$G$224,7,FALSE)</x:f>
        <x:v>OK</x:v>
      </x:c>
      <x:c r="AA97" s="12" t="str">
        <x:f>IF(COUNTIFS('Milestones'!$A$2:$A$7,G97)&lt;&gt;1,"BAD GATE",IF(M97&lt;=VLOOKUP(G97,'Milestones'!$A$2:$C$7,3,FALSE),"OK","LATE"))</x:f>
        <x:v>OK</x:v>
      </x:c>
      <x:c r="AB97" s="12" t="n">
        <x:f>IF(OR(V97="Done",V97="Cut"),"",M97-TODAY())</x:f>
        <x:v>9</x:v>
      </x:c>
    </x:row>
    <x:row r="98" ht="90" customHeight="1">
      <x:c r="A98" s="7" t="str">
        <x:v>E5-02</x:v>
      </x:c>
      <x:c r="B98" s="7" t="str">
        <x:v>Implement smooth forward bay approach in harness</x:v>
      </x:c>
      <x:c r="C98" s="9" t="str">
        <x:v>Generate curvature-feasible arcs/Bezier with full vehicle footprint; final speed &lt;=1 m/s.</x:v>
      </x:c>
      <x:c r="D98" s="9" t="str">
        <x:v>Synthetic bays satisfy turning radius, position and heading tolerances; invalid bays rejected.</x:v>
      </x:c>
      <x:c r="E98" s="7" t="str">
        <x:v>Extension</x:v>
      </x:c>
      <x:c r="F98" s="7" t="str">
        <x:v>E5</x:v>
      </x:c>
      <x:c r="G98" s="7" t="str">
        <x:v>G1</x:v>
      </x:c>
      <x:c r="H98" s="7" t="str">
        <x:v>P1 should</x:v>
      </x:c>
      <x:c r="I98" s="7" t="str">
        <x:v>Zhaolin</x:v>
      </x:c>
      <x:c r="J98" s="7" t="str">
        <x:f>IF(VLOOKUP(I98,'Team'!$A$2:$B$7,2,FALSE)="","",VLOOKUP(I98,'Team'!$A$2:$B$7,2,FALSE))</x:f>
      </x:c>
      <x:c r="K98" s="7" t="str">
        <x:v>Abdullah</x:v>
      </x:c>
      <x:c r="L98" s="10" t="n">
        <x:v>46313</x:v>
      </x:c>
      <x:c r="M98" s="10" t="n">
        <x:v>46313</x:v>
      </x:c>
      <x:c r="N98" s="11" t="n">
        <x:v>3</x:v>
      </x:c>
      <x:c r="O98" s="7" t="str">
        <x:v>E5-01</x:v>
      </x:c>
      <x:c r="P98" s="7" t="str">
        <x:v>E5-03</x:v>
      </x:c>
      <x:c r="Q98" s="7" t="str">
        <x:v>N</x:v>
      </x:c>
      <x:c r="R98" s="7" t="str">
        <x:v>src/planning/parking.py; tests/integration/</x:v>
      </x:c>
      <x:c r="S98" s="7" t="str">
        <x:v>P1 harness trajectory</x:v>
      </x:c>
      <x:c r="T98" s="7" t="str">
        <x:v>Extension and design decisions</x:v>
      </x:c>
      <x:c r="U98" s="7" t="str">
        <x:v>extension:e5;priority:p1;category:extension</x:v>
      </x:c>
      <x:c r="V98" s="7" t="str">
        <x:v>Todo</x:v>
      </x:c>
      <x:c r="W98" s="7" t="str"/>
      <x:c r="X98" s="9" t="str">
        <x:v>Internal Sydney date. Estimate includes implementation, author checks and handoff; reviewer time is separately budgeted.</x:v>
      </x:c>
      <x:c r="Y98" s="12" t="n">
        <x:f>INT((M98-'Import Guide'!$B$3)/7)+1</x:f>
        <x:v>1</x:v>
      </x:c>
      <x:c r="Z98" s="12" t="str">
        <x:f>VLOOKUP(A98,'Dependencies'!$A$2:$G$224,7,FALSE)</x:f>
        <x:v>OK</x:v>
      </x:c>
      <x:c r="AA98" s="12" t="str">
        <x:f>IF(COUNTIFS('Milestones'!$A$2:$A$7,G98)&lt;&gt;1,"BAD GATE",IF(M98&lt;=VLOOKUP(G98,'Milestones'!$A$2:$C$7,3,FALSE),"OK","LATE"))</x:f>
        <x:v>OK</x:v>
      </x:c>
      <x:c r="AB98" s="12" t="n">
        <x:f>IF(OR(V98="Done",V98="Cut"),"",M98-TODAY())</x:f>
        <x:v>10</x:v>
      </x:c>
    </x:row>
    <x:row r="99" ht="90" customHeight="1">
      <x:c r="A99" s="7" t="str">
        <x:v>E5-03</x:v>
      </x:c>
      <x:c r="B99" s="7" t="str">
        <x:v>Add parking clearance, final stop and state handover</x:v>
      </x:c>
      <x:c r="C99" s="9" t="str">
        <x:v>Use depth/LiDAR observed clearance; shorter lookahead/config for parking; validate orientation at goal.</x:v>
      </x:c>
      <x:c r="D99" s="9" t="str">
        <x:v>Blocked bay stops safely; DRIVE-&gt;PARK once; no endpoint completion before pose/heading constraints hold.</x:v>
      </x:c>
      <x:c r="E99" s="7" t="str">
        <x:v>Extension</x:v>
      </x:c>
      <x:c r="F99" s="7" t="str">
        <x:v>E5</x:v>
      </x:c>
      <x:c r="G99" s="7" t="str">
        <x:v>G2</x:v>
      </x:c>
      <x:c r="H99" s="7" t="str">
        <x:v>P1 should</x:v>
      </x:c>
      <x:c r="I99" s="7" t="str">
        <x:v>Zhaolin</x:v>
      </x:c>
      <x:c r="J99" s="7" t="str">
        <x:f>IF(VLOOKUP(I99,'Team'!$A$2:$B$7,2,FALSE)="","",VLOOKUP(I99,'Team'!$A$2:$B$7,2,FALSE))</x:f>
      </x:c>
      <x:c r="K99" s="7" t="str">
        <x:v>Abdullah</x:v>
      </x:c>
      <x:c r="L99" s="10" t="n">
        <x:v>46314</x:v>
      </x:c>
      <x:c r="M99" s="10" t="n">
        <x:v>46314</x:v>
      </x:c>
      <x:c r="N99" s="11" t="n">
        <x:v>2.5</x:v>
      </x:c>
      <x:c r="O99" s="7" t="str">
        <x:v>E5-02,BL-D-07</x:v>
      </x:c>
      <x:c r="P99" s="7" t="str">
        <x:v>E5-04, E5-06</x:v>
      </x:c>
      <x:c r="Q99" s="7" t="str">
        <x:v>N</x:v>
      </x:c>
      <x:c r="R99" s="7" t="str">
        <x:v>src/planning/parking.py; src/navigation_control/parking_forward.py</x:v>
      </x:c>
      <x:c r="S99" s="7" t="str">
        <x:v>Parking safety and endpoint tests</x:v>
      </x:c>
      <x:c r="T99" s="7" t="str">
        <x:v>Extension and design decisions</x:v>
      </x:c>
      <x:c r="U99" s="7" t="str">
        <x:v>extension:e5;priority:p1;category:extension</x:v>
      </x:c>
      <x:c r="V99" s="7" t="str">
        <x:v>Todo</x:v>
      </x:c>
      <x:c r="W99" s="7" t="str"/>
      <x:c r="X99" s="9" t="str">
        <x:v>Internal Sydney date. Estimate includes implementation, author checks and handoff; reviewer time is separately budgeted.</x:v>
      </x:c>
      <x:c r="Y99" s="12" t="n">
        <x:f>INT((M99-'Import Guide'!$B$3)/7)+1</x:f>
        <x:v>2</x:v>
      </x:c>
      <x:c r="Z99" s="12" t="str">
        <x:f>VLOOKUP(A99,'Dependencies'!$A$2:$G$224,7,FALSE)</x:f>
        <x:v>OK</x:v>
      </x:c>
      <x:c r="AA99" s="12" t="str">
        <x:f>IF(COUNTIFS('Milestones'!$A$2:$A$7,G99)&lt;&gt;1,"BAD GATE",IF(M99&lt;=VLOOKUP(G99,'Milestones'!$A$2:$C$7,3,FALSE),"OK","LATE"))</x:f>
        <x:v>OK</x:v>
      </x:c>
      <x:c r="AB99" s="12" t="n">
        <x:f>IF(OR(V99="Done",V99="Cut"),"",M99-TODAY())</x:f>
        <x:v>11</x:v>
      </x:c>
    </x:row>
    <x:row r="100" ht="90" customHeight="1">
      <x:c r="A100" s="7" t="str">
        <x:v>E5-04</x:v>
      </x:c>
      <x:c r="B100" s="7" t="str">
        <x:v>Implement reverse two-arc parking prototype in harness</x:v>
      </x:c>
      <x:c r="C100" s="9" t="str">
        <x:v>New signed-speed reverse controller and gear-safe command type; do not mutate forward-only A1 API.</x:v>
      </x:c>
      <x:c r="D100" s="9" t="str">
        <x:v>Harness reverse path respects direction/sign and curvature; P2 remains experimental until CARLA evidence.</x:v>
      </x:c>
      <x:c r="E100" s="7" t="str">
        <x:v>Extension</x:v>
      </x:c>
      <x:c r="F100" s="7" t="str">
        <x:v>E5</x:v>
      </x:c>
      <x:c r="G100" s="7" t="str">
        <x:v>G2</x:v>
      </x:c>
      <x:c r="H100" s="7" t="str">
        <x:v>P2 could</x:v>
      </x:c>
      <x:c r="I100" s="7" t="str">
        <x:v>Zhaolin</x:v>
      </x:c>
      <x:c r="J100" s="7" t="str">
        <x:f>IF(VLOOKUP(I100,'Team'!$A$2:$B$7,2,FALSE)="","",VLOOKUP(I100,'Team'!$A$2:$B$7,2,FALSE))</x:f>
      </x:c>
      <x:c r="K100" s="7" t="str">
        <x:v>Abdullah</x:v>
      </x:c>
      <x:c r="L100" s="10" t="n">
        <x:v>46316</x:v>
      </x:c>
      <x:c r="M100" s="10" t="n">
        <x:v>46316</x:v>
      </x:c>
      <x:c r="N100" s="11" t="n">
        <x:v>2</x:v>
      </x:c>
      <x:c r="O100" s="7" t="str">
        <x:v>E5-03</x:v>
      </x:c>
      <x:c r="P100" s="7" t="str">
        <x:v>E5-05</x:v>
      </x:c>
      <x:c r="Q100" s="7" t="str">
        <x:v>N</x:v>
      </x:c>
      <x:c r="R100" s="7" t="str">
        <x:v>src/navigation_control/reverse.py; src/planning/parking.py</x:v>
      </x:c>
      <x:c r="S100" s="7" t="str">
        <x:v>P2 harness prototype</x:v>
      </x:c>
      <x:c r="T100" s="7" t="str">
        <x:v>Extension and design decisions</x:v>
      </x:c>
      <x:c r="U100" s="7" t="str">
        <x:v>extension:e5;priority:p2;category:extension</x:v>
      </x:c>
      <x:c r="V100" s="7" t="str">
        <x:v>Todo</x:v>
      </x:c>
      <x:c r="W100" s="7" t="str"/>
      <x:c r="X100" s="9" t="str">
        <x:v>Internal Sydney date. Estimate includes implementation, author checks and handoff; reviewer time is separately budgeted. Conditional only; start if baseline is on track. First work to cut.</x:v>
      </x:c>
      <x:c r="Y100" s="12" t="n">
        <x:f>INT((M100-'Import Guide'!$B$3)/7)+1</x:f>
        <x:v>2</x:v>
      </x:c>
      <x:c r="Z100" s="12" t="str">
        <x:f>VLOOKUP(A100,'Dependencies'!$A$2:$G$224,7,FALSE)</x:f>
        <x:v>OK</x:v>
      </x:c>
      <x:c r="AA100" s="12" t="str">
        <x:f>IF(COUNTIFS('Milestones'!$A$2:$A$7,G100)&lt;&gt;1,"BAD GATE",IF(M100&lt;=VLOOKUP(G100,'Milestones'!$A$2:$C$7,3,FALSE),"OK","LATE"))</x:f>
        <x:v>OK</x:v>
      </x:c>
      <x:c r="AB100" s="12" t="n">
        <x:f>IF(OR(V100="Done",V100="Cut"),"",M100-TODAY())</x:f>
        <x:v>13</x:v>
      </x:c>
    </x:row>
    <x:row r="101" ht="90" customHeight="1">
      <x:c r="A101" s="7" t="str">
        <x:v>E5-05</x:v>
      </x:c>
      <x:c r="B101" s="7" t="str">
        <x:v>Verify reverse gear hook and low-speed adapter signs</x:v>
      </x:c>
      <x:c r="C101" s="9" t="str">
        <x:v>Add adapter reverse switching only after stopped; isolated calibration pad, not baseline mission.</x:v>
      </x:c>
      <x:c r="D101" s="9" t="str">
        <x:v>Reverse sign, brake hold and gear-change interlock verified; P2 disabled in release configuration.</x:v>
      </x:c>
      <x:c r="E101" s="7" t="str">
        <x:v>Extension</x:v>
      </x:c>
      <x:c r="F101" s="7" t="str">
        <x:v>E5</x:v>
      </x:c>
      <x:c r="G101" s="7" t="str">
        <x:v>G3</x:v>
      </x:c>
      <x:c r="H101" s="7" t="str">
        <x:v>P2 could</x:v>
      </x:c>
      <x:c r="I101" s="7" t="str">
        <x:v>Zhaolin</x:v>
      </x:c>
      <x:c r="J101" s="7" t="str">
        <x:f>IF(VLOOKUP(I101,'Team'!$A$2:$B$7,2,FALSE)="","",VLOOKUP(I101,'Team'!$A$2:$B$7,2,FALSE))</x:f>
      </x:c>
      <x:c r="K101" s="7" t="str">
        <x:v>Abdullah</x:v>
      </x:c>
      <x:c r="L101" s="10" t="n">
        <x:v>46317</x:v>
      </x:c>
      <x:c r="M101" s="10" t="n">
        <x:v>46317</x:v>
      </x:c>
      <x:c r="N101" s="11" t="n">
        <x:v>2</x:v>
      </x:c>
      <x:c r="O101" s="7" t="str">
        <x:v>E5-04,BL-E-01</x:v>
      </x:c>
      <x:c r="P101" s="7" t="str">
        <x:v>E5-08</x:v>
      </x:c>
      <x:c r="Q101" s="7" t="str">
        <x:v>Y</x:v>
      </x:c>
      <x:c r="R101" s="7" t="str">
        <x:v>src/carla_adapter/vehicle.py</x:v>
      </x:c>
      <x:c r="S101" s="7" t="str">
        <x:v>Reverse pad test log</x:v>
      </x:c>
      <x:c r="T101" s="7" t="str">
        <x:v>Extension and design decisions</x:v>
      </x:c>
      <x:c r="U101" s="7" t="str">
        <x:v>extension:e5;priority:p2;carla-required;category:extension</x:v>
      </x:c>
      <x:c r="V101" s="7" t="str">
        <x:v>Todo</x:v>
      </x:c>
      <x:c r="W101" s="7" t="str"/>
      <x:c r="X101" s="9" t="str">
        <x:v>Internal Sydney date. Estimate includes implementation, author checks and handoff; reviewer time is separately budgeted. Conditional only; start if baseline is on track. First work to cut.</x:v>
      </x:c>
      <x:c r="Y101" s="12" t="n">
        <x:f>INT((M101-'Import Guide'!$B$3)/7)+1</x:f>
        <x:v>2</x:v>
      </x:c>
      <x:c r="Z101" s="12" t="str">
        <x:f>VLOOKUP(A101,'Dependencies'!$A$2:$G$224,7,FALSE)</x:f>
        <x:v>OK</x:v>
      </x:c>
      <x:c r="AA101" s="12" t="str">
        <x:f>IF(COUNTIFS('Milestones'!$A$2:$A$7,G101)&lt;&gt;1,"BAD GATE",IF(M101&lt;=VLOOKUP(G101,'Milestones'!$A$2:$C$7,3,FALSE),"OK","LATE"))</x:f>
        <x:v>OK</x:v>
      </x:c>
      <x:c r="AB101" s="12" t="n">
        <x:f>IF(OR(V101="Done",V101="Cut"),"",M101-TODAY())</x:f>
        <x:v>14</x:v>
      </x:c>
    </x:row>
    <x:row r="102" ht="90" customHeight="1">
      <x:c r="A102" s="7" t="str">
        <x:v>E5-06</x:v>
      </x:c>
      <x:c r="B102" s="7" t="str">
        <x:v>Run five P1 forward parking trials and blocked-bay test</x:v>
      </x:c>
      <x:c r="C102" s="9" t="str">
        <x:v>Use selected destination bay with observed clearance; &lt;=1 m/s final approach.</x:v>
      </x:c>
      <x:c r="D102" s="9" t="str">
        <x:v>5/5 within 0.3 m and 5 deg, 0 collisions; time-to-park and blocked-bay safe stop captured.</x:v>
      </x:c>
      <x:c r="E102" s="7" t="str">
        <x:v>Extension</x:v>
      </x:c>
      <x:c r="F102" s="7" t="str">
        <x:v>E5</x:v>
      </x:c>
      <x:c r="G102" s="7" t="str">
        <x:v>G4</x:v>
      </x:c>
      <x:c r="H102" s="7" t="str">
        <x:v>P1 should</x:v>
      </x:c>
      <x:c r="I102" s="7" t="str">
        <x:v>Zhaolin</x:v>
      </x:c>
      <x:c r="J102" s="7" t="str">
        <x:f>IF(VLOOKUP(I102,'Team'!$A$2:$B$7,2,FALSE)="","",VLOOKUP(I102,'Team'!$A$2:$B$7,2,FALSE))</x:f>
      </x:c>
      <x:c r="K102" s="7" t="str">
        <x:v>Abdullah</x:v>
      </x:c>
      <x:c r="L102" s="10" t="n">
        <x:v>46321</x:v>
      </x:c>
      <x:c r="M102" s="10" t="n">
        <x:v>46321</x:v>
      </x:c>
      <x:c r="N102" s="11" t="n">
        <x:v>2.5</x:v>
      </x:c>
      <x:c r="O102" s="7" t="str">
        <x:v>G3-01,E5-03</x:v>
      </x:c>
      <x:c r="P102" s="7" t="str">
        <x:v>E5-07, E5-08, TEST-11, DOC-16</x:v>
      </x:c>
      <x:c r="Q102" s="7" t="str">
        <x:v>Y</x:v>
      </x:c>
      <x:c r="R102" s="7" t="str">
        <x:v>configs/scenarios/P1.yaml</x:v>
      </x:c>
      <x:c r="S102" s="7" t="str">
        <x:v>P1 parking evidence</x:v>
      </x:c>
      <x:c r="T102" s="7" t="str">
        <x:v>Extension and design decisions</x:v>
      </x:c>
      <x:c r="U102" s="7" t="str">
        <x:v>extension:e5;priority:p1;carla-required;category:extension</x:v>
      </x:c>
      <x:c r="V102" s="7" t="str">
        <x:v>Todo</x:v>
      </x:c>
      <x:c r="W102" s="7" t="str"/>
      <x:c r="X102" s="9" t="str">
        <x:v>Internal Sydney date. Estimate includes implementation, author checks and handoff; reviewer time is separately budgeted.</x:v>
      </x:c>
      <x:c r="Y102" s="12" t="n">
        <x:f>INT((M102-'Import Guide'!$B$3)/7)+1</x:f>
        <x:v>3</x:v>
      </x:c>
      <x:c r="Z102" s="12" t="str">
        <x:f>VLOOKUP(A102,'Dependencies'!$A$2:$G$224,7,FALSE)</x:f>
        <x:v>OK</x:v>
      </x:c>
      <x:c r="AA102" s="12" t="str">
        <x:f>IF(COUNTIFS('Milestones'!$A$2:$A$7,G102)&lt;&gt;1,"BAD GATE",IF(M102&lt;=VLOOKUP(G102,'Milestones'!$A$2:$C$7,3,FALSE),"OK","LATE"))</x:f>
        <x:v>OK</x:v>
      </x:c>
      <x:c r="AB102" s="12" t="n">
        <x:f>IF(OR(V102="Done",V102="Cut"),"",M102-TODAY())</x:f>
        <x:v>18</x:v>
      </x:c>
    </x:row>
    <x:row r="103" ht="90" customHeight="1">
      <x:c r="A103" s="7" t="str">
        <x:v>E5-07</x:v>
      </x:c>
      <x:c r="B103" s="7" t="str">
        <x:v>Run full baseline regression with parking flag enabled</x:v>
      </x:c>
      <x:c r="C103" s="9" t="str">
        <x:v>Use DRIVE behavior on S0-S5; explicit P1 test covers PARK mode at permitted destination.</x:v>
      </x:c>
      <x:c r="D103" s="9" t="str">
        <x:v>30 baseline trials and P1 remain passing; default route goal unchanged when parking off.</x:v>
      </x:c>
      <x:c r="E103" s="7" t="str">
        <x:v>Extension</x:v>
      </x:c>
      <x:c r="F103" s="7" t="str">
        <x:v>E5</x:v>
      </x:c>
      <x:c r="G103" s="7" t="str">
        <x:v>G4</x:v>
      </x:c>
      <x:c r="H103" s="7" t="str">
        <x:v>P1 should</x:v>
      </x:c>
      <x:c r="I103" s="7" t="str">
        <x:v>Zhaolin</x:v>
      </x:c>
      <x:c r="J103" s="7" t="str">
        <x:f>IF(VLOOKUP(I103,'Team'!$A$2:$B$7,2,FALSE)="","",VLOOKUP(I103,'Team'!$A$2:$B$7,2,FALSE))</x:f>
      </x:c>
      <x:c r="K103" s="7" t="str">
        <x:v>Abdullah</x:v>
      </x:c>
      <x:c r="L103" s="10" t="n">
        <x:v>46322</x:v>
      </x:c>
      <x:c r="M103" s="10" t="n">
        <x:v>46322</x:v>
      </x:c>
      <x:c r="N103" s="11" t="n">
        <x:v>2</x:v>
      </x:c>
      <x:c r="O103" s="7" t="str">
        <x:v>E5-06</x:v>
      </x:c>
      <x:c r="P103" s="7" t="str">
        <x:v>G4-01</x:v>
      </x:c>
      <x:c r="Q103" s="7" t="str">
        <x:v>Y</x:v>
      </x:c>
      <x:c r="R103" s="7" t="str">
        <x:v>scripts/run_acceptance_suite.py</x:v>
      </x:c>
      <x:c r="S103" s="7" t="str">
        <x:v>Parking admission report</x:v>
      </x:c>
      <x:c r="T103" s="7" t="str">
        <x:v>Extension and design decisions</x:v>
      </x:c>
      <x:c r="U103" s="7" t="str">
        <x:v>extension:e5;priority:p1;carla-required;category:extension</x:v>
      </x:c>
      <x:c r="V103" s="7" t="str">
        <x:v>Todo</x:v>
      </x:c>
      <x:c r="W103" s="7" t="str"/>
      <x:c r="X103" s="9" t="str">
        <x:v>Internal Sydney date. Estimate includes implementation, author checks and handoff; reviewer time is separately budgeted.</x:v>
      </x:c>
      <x:c r="Y103" s="12" t="n">
        <x:f>INT((M103-'Import Guide'!$B$3)/7)+1</x:f>
        <x:v>3</x:v>
      </x:c>
      <x:c r="Z103" s="12" t="str">
        <x:f>VLOOKUP(A103,'Dependencies'!$A$2:$G$224,7,FALSE)</x:f>
        <x:v>OK</x:v>
      </x:c>
      <x:c r="AA103" s="12" t="str">
        <x:f>IF(COUNTIFS('Milestones'!$A$2:$A$7,G103)&lt;&gt;1,"BAD GATE",IF(M103&lt;=VLOOKUP(G103,'Milestones'!$A$2:$C$7,3,FALSE),"OK","LATE"))</x:f>
        <x:v>OK</x:v>
      </x:c>
      <x:c r="AB103" s="12" t="n">
        <x:f>IF(OR(V103="Done",V103="Cut"),"",M103-TODAY())</x:f>
        <x:v>19</x:v>
      </x:c>
    </x:row>
    <x:row r="104" ht="90" customHeight="1">
      <x:c r="A104" s="7" t="str">
        <x:v>E5-08</x:v>
      </x:c>
      <x:c r="B104" s="7" t="str">
        <x:v>Evaluate P2 reverse parking or record the cut</x:v>
      </x:c>
      <x:c r="C104" s="9" t="str">
        <x:v>Only spend this budget if P1 and baseline are green; otherwise record defer with harness evidence.</x:v>
      </x:c>
      <x:c r="D104" s="9" t="str">
        <x:v>Admit only if 5/5 &lt;=0.3 m, &lt;=5 deg and 0 collisions plus regression; otherwise label future work.</x:v>
      </x:c>
      <x:c r="E104" s="7" t="str">
        <x:v>Extension</x:v>
      </x:c>
      <x:c r="F104" s="7" t="str">
        <x:v>E5</x:v>
      </x:c>
      <x:c r="G104" s="7" t="str">
        <x:v>G4</x:v>
      </x:c>
      <x:c r="H104" s="7" t="str">
        <x:v>P2 could</x:v>
      </x:c>
      <x:c r="I104" s="7" t="str">
        <x:v>Zhaolin</x:v>
      </x:c>
      <x:c r="J104" s="7" t="str">
        <x:f>IF(VLOOKUP(I104,'Team'!$A$2:$B$7,2,FALSE)="","",VLOOKUP(I104,'Team'!$A$2:$B$7,2,FALSE))</x:f>
      </x:c>
      <x:c r="K104" s="7" t="str">
        <x:v>Abdullah</x:v>
      </x:c>
      <x:c r="L104" s="10" t="n">
        <x:v>46322</x:v>
      </x:c>
      <x:c r="M104" s="10" t="n">
        <x:v>46322</x:v>
      </x:c>
      <x:c r="N104" s="11" t="n">
        <x:v>2</x:v>
      </x:c>
      <x:c r="O104" s="7" t="str">
        <x:v>E5-05,E5-06</x:v>
      </x:c>
      <x:c r="P104" s="7" t="str">
        <x:v>E5-09</x:v>
      </x:c>
      <x:c r="Q104" s="7" t="str">
        <x:v>Y</x:v>
      </x:c>
      <x:c r="R104" s="7" t="str">
        <x:v>configs/scenarios/P2.yaml</x:v>
      </x:c>
      <x:c r="S104" s="7" t="str">
        <x:v>P2 measured result or cut record</x:v>
      </x:c>
      <x:c r="T104" s="7" t="str">
        <x:v>Extension and design decisions</x:v>
      </x:c>
      <x:c r="U104" s="7" t="str">
        <x:v>extension:e5;priority:p2;carla-required;category:extension</x:v>
      </x:c>
      <x:c r="V104" s="7" t="str">
        <x:v>Todo</x:v>
      </x:c>
      <x:c r="W104" s="7" t="str"/>
      <x:c r="X104" s="9" t="str">
        <x:v>Internal Sydney date. Estimate includes implementation, author checks and handoff; reviewer time is separately budgeted. Conditional only; start if baseline is on track. First work to cut. P2 admission requires its own additional full baseline regression; absent that evidence it stays off.</x:v>
      </x:c>
      <x:c r="Y104" s="12" t="n">
        <x:f>INT((M104-'Import Guide'!$B$3)/7)+1</x:f>
        <x:v>3</x:v>
      </x:c>
      <x:c r="Z104" s="12" t="str">
        <x:f>VLOOKUP(A104,'Dependencies'!$A$2:$G$224,7,FALSE)</x:f>
        <x:v>OK</x:v>
      </x:c>
      <x:c r="AA104" s="12" t="str">
        <x:f>IF(COUNTIFS('Milestones'!$A$2:$A$7,G104)&lt;&gt;1,"BAD GATE",IF(M104&lt;=VLOOKUP(G104,'Milestones'!$A$2:$C$7,3,FALSE),"OK","LATE"))</x:f>
        <x:v>OK</x:v>
      </x:c>
      <x:c r="AB104" s="12" t="n">
        <x:f>IF(OR(V104="Done",V104="Cut"),"",M104-TODAY())</x:f>
        <x:v>19</x:v>
      </x:c>
    </x:row>
    <x:row r="105" ht="90" customHeight="1">
      <x:c r="A105" s="7" t="str">
        <x:v>DOC-01</x:v>
      </x:c>
      <x:c r="B105" s="7" t="str">
        <x:v>Create report outline and evidence index</x:v>
      </x:c>
      <x:c r="C105" s="9" t="str">
        <x:v>Map four mandatory report sections to tasks, figures, raw run IDs and decision records.</x:v>
      </x:c>
      <x:c r="D105" s="9" t="str">
        <x:v>Outline reserves &lt;=1000 words and &lt;=3 pages; no result inserted before measurement.</x:v>
      </x:c>
      <x:c r="E105" s="7" t="str">
        <x:v>Docs &amp; Report</x:v>
      </x:c>
      <x:c r="F105" s="7" t="str">
        <x:v>F</x:v>
      </x:c>
      <x:c r="G105" s="7" t="str">
        <x:v>G1</x:v>
      </x:c>
      <x:c r="H105" s="7" t="str">
        <x:v>P0 must</x:v>
      </x:c>
      <x:c r="I105" s="7" t="str">
        <x:v>Saviour</x:v>
      </x:c>
      <x:c r="J105" s="7" t="str">
        <x:f>IF(VLOOKUP(I105,'Team'!$A$2:$B$7,2,FALSE)="","",VLOOKUP(I105,'Team'!$A$2:$B$7,2,FALSE))</x:f>
      </x:c>
      <x:c r="K105" s="7" t="str">
        <x:v>Ricky</x:v>
      </x:c>
      <x:c r="L105" s="10" t="n">
        <x:v>46310</x:v>
      </x:c>
      <x:c r="M105" s="10" t="n">
        <x:v>46310</x:v>
      </x:c>
      <x:c r="N105" s="11" t="n">
        <x:v>1.5</x:v>
      </x:c>
      <x:c r="O105" s="7" t="str">
        <x:v>PROC-01,BL-C-01</x:v>
      </x:c>
      <x:c r="P105" s="7" t="str">
        <x:v>DOC-02</x:v>
      </x:c>
      <x:c r="Q105" s="7" t="str">
        <x:v>N</x:v>
      </x:c>
      <x:c r="R105" s="7" t="str">
        <x:v>docs/report-outline.md; docs/evidence-index.md</x:v>
      </x:c>
      <x:c r="S105" s="7" t="str">
        <x:v>Report outline and figure placeholders</x:v>
      </x:c>
      <x:c r="T105" s="7" t="str">
        <x:v>All four report sections</x:v>
      </x:c>
      <x:c r="U105" s="7" t="str">
        <x:v>workstream:f;priority:p0;category:docs-report</x:v>
      </x:c>
      <x:c r="V105" s="7" t="str">
        <x:v>Todo</x:v>
      </x:c>
      <x:c r="W105" s="7" t="str"/>
      <x:c r="X105" s="9" t="str">
        <x:v>Internal Sydney date. Estimate includes implementation, author checks and handoff; reviewer time is separately budgeted.</x:v>
      </x:c>
      <x:c r="Y105" s="12" t="n">
        <x:f>INT((M105-'Import Guide'!$B$3)/7)+1</x:f>
        <x:v>1</x:v>
      </x:c>
      <x:c r="Z105" s="12" t="str">
        <x:f>VLOOKUP(A105,'Dependencies'!$A$2:$G$224,7,FALSE)</x:f>
        <x:v>OK</x:v>
      </x:c>
      <x:c r="AA105" s="12" t="str">
        <x:f>IF(COUNTIFS('Milestones'!$A$2:$A$7,G105)&lt;&gt;1,"BAD GATE",IF(M105&lt;=VLOOKUP(G105,'Milestones'!$A$2:$C$7,3,FALSE),"OK","LATE"))</x:f>
        <x:v>OK</x:v>
      </x:c>
      <x:c r="AB105" s="12" t="n">
        <x:f>IF(OR(V105="Done",V105="Cut"),"",M105-TODAY())</x:f>
        <x:v>7</x:v>
      </x:c>
    </x:row>
    <x:row r="106" ht="90" customHeight="1">
      <x:c r="A106" s="7" t="str">
        <x:v>DOC-02</x:v>
      </x:c>
      <x:c r="B106" s="7" t="str">
        <x:v>Draft scope and A1 reuse sections with cited changes</x:v>
      </x:c>
      <x:c r="C106" s="9" t="str">
        <x:v>Explain reduced scope, retained controllers, revamped APIs and why map route is appropriate.</x:v>
      </x:c>
      <x:c r="D106" s="9" t="str">
        <x:v>Draft distinguishes approved baseline, pending extensions and simulator localization limitation; claims link to commits.</x:v>
      </x:c>
      <x:c r="E106" s="7" t="str">
        <x:v>Docs &amp; Report</x:v>
      </x:c>
      <x:c r="F106" s="7" t="str">
        <x:v>C</x:v>
      </x:c>
      <x:c r="G106" s="7" t="str">
        <x:v>G2</x:v>
      </x:c>
      <x:c r="H106" s="7" t="str">
        <x:v>P0 must</x:v>
      </x:c>
      <x:c r="I106" s="7" t="str">
        <x:v>Ricky</x:v>
      </x:c>
      <x:c r="J106" s="7" t="str">
        <x:f>IF(VLOOKUP(I106,'Team'!$A$2:$B$7,2,FALSE)="","",VLOOKUP(I106,'Team'!$A$2:$B$7,2,FALSE))</x:f>
      </x:c>
      <x:c r="K106" s="7" t="str">
        <x:v>Saviour</x:v>
      </x:c>
      <x:c r="L106" s="10" t="n">
        <x:v>46315</x:v>
      </x:c>
      <x:c r="M106" s="10" t="n">
        <x:v>46315</x:v>
      </x:c>
      <x:c r="N106" s="11" t="n">
        <x:v>1.5</x:v>
      </x:c>
      <x:c r="O106" s="7" t="str">
        <x:v>DOC-01,G1-01</x:v>
      </x:c>
      <x:c r="P106" s="7" t="str">
        <x:v>DOC-04</x:v>
      </x:c>
      <x:c r="Q106" s="7" t="str">
        <x:v>N</x:v>
      </x:c>
      <x:c r="R106" s="7" t="str">
        <x:v>docs/report/</x:v>
      </x:c>
      <x:c r="S106" s="7" t="str">
        <x:v>Scope and extension draft</x:v>
      </x:c>
      <x:c r="T106" s="7" t="str">
        <x:v>All four report sections</x:v>
      </x:c>
      <x:c r="U106" s="7" t="str">
        <x:v>workstream:c;priority:p0;category:docs-report</x:v>
      </x:c>
      <x:c r="V106" s="7" t="str">
        <x:v>Todo</x:v>
      </x:c>
      <x:c r="W106" s="7" t="str"/>
      <x:c r="X106" s="9" t="str">
        <x:v>Internal Sydney date. Estimate includes implementation, author checks and handoff; reviewer time is separately budgeted.</x:v>
      </x:c>
      <x:c r="Y106" s="12" t="n">
        <x:f>INT((M106-'Import Guide'!$B$3)/7)+1</x:f>
        <x:v>2</x:v>
      </x:c>
      <x:c r="Z106" s="12" t="str">
        <x:f>VLOOKUP(A106,'Dependencies'!$A$2:$G$224,7,FALSE)</x:f>
        <x:v>OK</x:v>
      </x:c>
      <x:c r="AA106" s="12" t="str">
        <x:f>IF(COUNTIFS('Milestones'!$A$2:$A$7,G106)&lt;&gt;1,"BAD GATE",IF(M106&lt;=VLOOKUP(G106,'Milestones'!$A$2:$C$7,3,FALSE),"OK","LATE"))</x:f>
        <x:v>OK</x:v>
      </x:c>
      <x:c r="AB106" s="12" t="n">
        <x:f>IF(OR(V106="Done",V106="Cut"),"",M106-TODAY())</x:f>
        <x:v>12</x:v>
      </x:c>
    </x:row>
    <x:row r="107" ht="90" customHeight="1">
      <x:c r="A107" s="7" t="str">
        <x:v>DOC-03</x:v>
      </x:c>
      <x:c r="B107" s="7" t="str">
        <x:v>Update installation and offline reproduction scripts</x:v>
      </x:c>
      <x:c r="C107" s="9" t="str">
        <x:v>Pin validated runtime/model assets and add prerequisites/checks for GPU/CARLA; update setup_environment.py.</x:v>
      </x:c>
      <x:c r="D107" s="9" t="str">
        <x:v>Fresh environment recipe has offline model manifest, matching server/client version and clear error messages.</x:v>
      </x:c>
      <x:c r="E107" s="7" t="str">
        <x:v>Docs &amp; Report</x:v>
      </x:c>
      <x:c r="F107" s="7" t="str">
        <x:v>F</x:v>
      </x:c>
      <x:c r="G107" s="7" t="str">
        <x:v>G3</x:v>
      </x:c>
      <x:c r="H107" s="7" t="str">
        <x:v>P0 must</x:v>
      </x:c>
      <x:c r="I107" s="7" t="str">
        <x:v>Saviour</x:v>
      </x:c>
      <x:c r="J107" s="7" t="str">
        <x:f>IF(VLOOKUP(I107,'Team'!$A$2:$B$7,2,FALSE)="","",VLOOKUP(I107,'Team'!$A$2:$B$7,2,FALSE))</x:f>
      </x:c>
      <x:c r="K107" s="7" t="str">
        <x:v>Ricky</x:v>
      </x:c>
      <x:c r="L107" s="10" t="n">
        <x:v>46317</x:v>
      </x:c>
      <x:c r="M107" s="10" t="n">
        <x:v>46317</x:v>
      </x:c>
      <x:c r="N107" s="11" t="n">
        <x:v>1.5</x:v>
      </x:c>
      <x:c r="O107" s="7" t="str">
        <x:v>BL-F-07,E4-07</x:v>
      </x:c>
      <x:c r="P107" s="7" t="str">
        <x:v>DOC-05, TEST-12</x:v>
      </x:c>
      <x:c r="Q107" s="7" t="str">
        <x:v>N</x:v>
      </x:c>
      <x:c r="R107" s="7" t="str">
        <x:v>README.md; setup_environment.py; pyproject.toml</x:v>
      </x:c>
      <x:c r="S107" s="7" t="str">
        <x:v>Reproduction instructions</x:v>
      </x:c>
      <x:c r="T107" s="7" t="str">
        <x:v>All four report sections</x:v>
      </x:c>
      <x:c r="U107" s="7" t="str">
        <x:v>workstream:f;priority:p0;category:docs-report</x:v>
      </x:c>
      <x:c r="V107" s="7" t="str">
        <x:v>Todo</x:v>
      </x:c>
      <x:c r="W107" s="7" t="str"/>
      <x:c r="X107" s="9" t="str">
        <x:v>Internal Sydney date. Estimate includes implementation, author checks and handoff; reviewer time is separately budgeted. Same-day handoff: complete/review BL-F-07 before starting this task.</x:v>
      </x:c>
      <x:c r="Y107" s="12" t="n">
        <x:f>INT((M107-'Import Guide'!$B$3)/7)+1</x:f>
        <x:v>2</x:v>
      </x:c>
      <x:c r="Z107" s="12" t="str">
        <x:f>VLOOKUP(A107,'Dependencies'!$A$2:$G$224,7,FALSE)</x:f>
        <x:v>OK</x:v>
      </x:c>
      <x:c r="AA107" s="12" t="str">
        <x:f>IF(COUNTIFS('Milestones'!$A$2:$A$7,G107)&lt;&gt;1,"BAD GATE",IF(M107&lt;=VLOOKUP(G107,'Milestones'!$A$2:$C$7,3,FALSE),"OK","LATE"))</x:f>
        <x:v>OK</x:v>
      </x:c>
      <x:c r="AB107" s="12" t="n">
        <x:f>IF(OR(V107="Done",V107="Cut"),"",M107-TODAY())</x:f>
        <x:v>14</x:v>
      </x:c>
    </x:row>
    <x:row r="108" ht="90" customHeight="1">
      <x:c r="A108" s="7" t="str">
        <x:v>DOC-04</x:v>
      </x:c>
      <x:c r="B108" s="7" t="str">
        <x:v>Draft quantitative evidence and honest limitations</x:v>
      </x:c>
      <x:c r="C108" s="9" t="str">
        <x:v>Use all baseline trial counts; add range, depth, navigation and latency figures; failures remain visible.</x:v>
      </x:c>
      <x:c r="D108" s="9" t="str">
        <x:v>No fabricated results; four sections have source run IDs and evidence-to-claim mapping.</x:v>
      </x:c>
      <x:c r="E108" s="7" t="str">
        <x:v>Docs &amp; Report</x:v>
      </x:c>
      <x:c r="F108" s="7" t="str">
        <x:v>C</x:v>
      </x:c>
      <x:c r="G108" s="7" t="str">
        <x:v>G3</x:v>
      </x:c>
      <x:c r="H108" s="7" t="str">
        <x:v>P0 must</x:v>
      </x:c>
      <x:c r="I108" s="7" t="str">
        <x:v>Ricky</x:v>
      </x:c>
      <x:c r="J108" s="7" t="str">
        <x:f>IF(VLOOKUP(I108,'Team'!$A$2:$B$7,2,FALSE)="","",VLOOKUP(I108,'Team'!$A$2:$B$7,2,FALSE))</x:f>
      </x:c>
      <x:c r="K108" s="7" t="str">
        <x:v>Saviour</x:v>
      </x:c>
      <x:c r="L108" s="10" t="n">
        <x:v>46320</x:v>
      </x:c>
      <x:c r="M108" s="10" t="n">
        <x:v>46320</x:v>
      </x:c>
      <x:c r="N108" s="11" t="n">
        <x:v>2</x:v>
      </x:c>
      <x:c r="O108" s="7" t="str">
        <x:v>TEST-08,TEST-09,DOC-02</x:v>
      </x:c>
      <x:c r="P108" s="7" t="str">
        <x:v>DOC-06</x:v>
      </x:c>
      <x:c r="Q108" s="7" t="str">
        <x:v>N</x:v>
      </x:c>
      <x:c r="R108" s="7" t="str">
        <x:v>docs/report/</x:v>
      </x:c>
      <x:c r="S108" s="7" t="str">
        <x:v>Evidence draft and figure captions</x:v>
      </x:c>
      <x:c r="T108" s="7" t="str">
        <x:v>All four report sections</x:v>
      </x:c>
      <x:c r="U108" s="7" t="str">
        <x:v>workstream:c;priority:p0;category:docs-report</x:v>
      </x:c>
      <x:c r="V108" s="7" t="str">
        <x:v>Todo</x:v>
      </x:c>
      <x:c r="W108" s="7" t="str"/>
      <x:c r="X108" s="9" t="str">
        <x:v>Internal Sydney date. Estimate includes implementation, author checks and handoff; reviewer time is separately budgeted.</x:v>
      </x:c>
      <x:c r="Y108" s="12" t="n">
        <x:f>INT((M108-'Import Guide'!$B$3)/7)+1</x:f>
        <x:v>2</x:v>
      </x:c>
      <x:c r="Z108" s="12" t="str">
        <x:f>VLOOKUP(A108,'Dependencies'!$A$2:$G$224,7,FALSE)</x:f>
        <x:v>OK</x:v>
      </x:c>
      <x:c r="AA108" s="12" t="str">
        <x:f>IF(COUNTIFS('Milestones'!$A$2:$A$7,G108)&lt;&gt;1,"BAD GATE",IF(M108&lt;=VLOOKUP(G108,'Milestones'!$A$2:$C$7,3,FALSE),"OK","LATE"))</x:f>
        <x:v>OK</x:v>
      </x:c>
      <x:c r="AB108" s="12" t="n">
        <x:f>IF(OR(V108="Done",V108="Cut"),"",M108-TODAY())</x:f>
        <x:v>17</x:v>
      </x:c>
    </x:row>
    <x:row r="109" ht="90" customHeight="1">
      <x:c r="A109" s="7" t="str">
        <x:v>DOC-05</x:v>
      </x:c>
      <x:c r="B109" s="7" t="str">
        <x:v>Complete generated API documentation and module notes</x:v>
      </x:c>
      <x:c r="C109" s="9" t="str">
        <x:v>Add how/why notes for every module; show public protocol and data flow in Sphinx.</x:v>
      </x:c>
      <x:c r="D109" s="9" t="str">
        <x:v>sphinx-build -W succeeds and links resolve; code explanation kept out of short report.</x:v>
      </x:c>
      <x:c r="E109" s="7" t="str">
        <x:v>Docs &amp; Report</x:v>
      </x:c>
      <x:c r="F109" s="7" t="str">
        <x:v>F</x:v>
      </x:c>
      <x:c r="G109" s="7" t="str">
        <x:v>G3</x:v>
      </x:c>
      <x:c r="H109" s="7" t="str">
        <x:v>P0 must</x:v>
      </x:c>
      <x:c r="I109" s="7" t="str">
        <x:v>Saviour</x:v>
      </x:c>
      <x:c r="J109" s="7" t="str">
        <x:f>IF(VLOOKUP(I109,'Team'!$A$2:$B$7,2,FALSE)="","",VLOOKUP(I109,'Team'!$A$2:$B$7,2,FALSE))</x:f>
      </x:c>
      <x:c r="K109" s="7" t="str">
        <x:v>Ricky</x:v>
      </x:c>
      <x:c r="L109" s="10" t="n">
        <x:v>46320</x:v>
      </x:c>
      <x:c r="M109" s="10" t="n">
        <x:v>46320</x:v>
      </x:c>
      <x:c r="N109" s="11" t="n">
        <x:v>1.5</x:v>
      </x:c>
      <x:c r="O109" s="7" t="str">
        <x:v>RV-07,RV-08,DOC-03</x:v>
      </x:c>
      <x:c r="P109" s="7" t="str">
        <x:v>DOC-08, DOC-17</x:v>
      </x:c>
      <x:c r="Q109" s="7" t="str">
        <x:v>N</x:v>
      </x:c>
      <x:c r="R109" s="7" t="str">
        <x:v>docs/; src/</x:v>
      </x:c>
      <x:c r="S109" s="7" t="str">
        <x:v>Documentation build artifact</x:v>
      </x:c>
      <x:c r="T109" s="7" t="str">
        <x:v>All four report sections</x:v>
      </x:c>
      <x:c r="U109" s="7" t="str">
        <x:v>workstream:f;priority:p0;category:docs-report</x:v>
      </x:c>
      <x:c r="V109" s="7" t="str">
        <x:v>Todo</x:v>
      </x:c>
      <x:c r="W109" s="7" t="str"/>
      <x:c r="X109" s="9" t="str">
        <x:v>Internal Sydney date. Estimate includes implementation, author checks and handoff; reviewer time is separately budgeted.</x:v>
      </x:c>
      <x:c r="Y109" s="12" t="n">
        <x:f>INT((M109-'Import Guide'!$B$3)/7)+1</x:f>
        <x:v>2</x:v>
      </x:c>
      <x:c r="Z109" s="12" t="str">
        <x:f>VLOOKUP(A109,'Dependencies'!$A$2:$G$224,7,FALSE)</x:f>
        <x:v>OK</x:v>
      </x:c>
      <x:c r="AA109" s="12" t="str">
        <x:f>IF(COUNTIFS('Milestones'!$A$2:$A$7,G109)&lt;&gt;1,"BAD GATE",IF(M109&lt;=VLOOKUP(G109,'Milestones'!$A$2:$C$7,3,FALSE),"OK","LATE"))</x:f>
        <x:v>OK</x:v>
      </x:c>
      <x:c r="AB109" s="12" t="n">
        <x:f>IF(OR(V109="Done",V109="Cut"),"",M109-TODAY())</x:f>
        <x:v>17</x:v>
      </x:c>
    </x:row>
    <x:row r="110" ht="90" customHeight="1">
      <x:c r="A110" s="7" t="str">
        <x:v>TEST-11</x:v>
      </x:c>
      <x:c r="B110" s="7" t="str">
        <x:v>Run combined extension configuration regression</x:v>
      </x:c>
      <x:c r="C110" s="9" t="str">
        <x:v>Run all admitted v1 flags together, not only in isolation; profile resource contention.</x:v>
      </x:c>
      <x:c r="D110" s="9" t="str">
        <x:v>S0-S5 five trials each pass, or identify which flag is disabled; selected config recorded for G4.</x:v>
      </x:c>
      <x:c r="E110" s="7" t="str">
        <x:v>Testing</x:v>
      </x:c>
      <x:c r="F110" s="7" t="str">
        <x:v>B</x:v>
      </x:c>
      <x:c r="G110" s="7" t="str">
        <x:v>G4</x:v>
      </x:c>
      <x:c r="H110" s="7" t="str">
        <x:v>P1 should</x:v>
      </x:c>
      <x:c r="I110" s="7" t="str">
        <x:v>Mohammad</x:v>
      </x:c>
      <x:c r="J110" s="7" t="str">
        <x:f>IF(VLOOKUP(I110,'Team'!$A$2:$B$7,2,FALSE)="","",VLOOKUP(I110,'Team'!$A$2:$B$7,2,FALSE))</x:f>
        <x:v>kkaaman</x:v>
      </x:c>
      <x:c r="K110" s="7" t="str">
        <x:v>Alan</x:v>
      </x:c>
      <x:c r="L110" s="10" t="n">
        <x:v>46322</x:v>
      </x:c>
      <x:c r="M110" s="10" t="n">
        <x:v>46322</x:v>
      </x:c>
      <x:c r="N110" s="11" t="n">
        <x:v>2.5</x:v>
      </x:c>
      <x:c r="O110" s="7" t="str">
        <x:v>G3-01,E1-04,E2-05,E3-04,E4-11,E5-06</x:v>
      </x:c>
      <x:c r="P110" s="7" t="str">
        <x:v>G4-01</x:v>
      </x:c>
      <x:c r="Q110" s="7" t="str">
        <x:v>Y</x:v>
      </x:c>
      <x:c r="R110" s="7" t="str">
        <x:v>configs/release.yaml</x:v>
      </x:c>
      <x:c r="S110" s="7" t="str">
        <x:v>Combined-flags regression report</x:v>
      </x:c>
      <x:c r="T110" s="7" t="str">
        <x:v>Evidence and limitations</x:v>
      </x:c>
      <x:c r="U110" s="7" t="str">
        <x:v>workstream:b;priority:p1;carla-required;category:testing</x:v>
      </x:c>
      <x:c r="V110" s="7" t="str">
        <x:v>Todo</x:v>
      </x:c>
      <x:c r="W110" s="7" t="str"/>
      <x:c r="X110" s="9" t="str">
        <x:v>Internal Sydney date. Estimate includes implementation, author checks and handoff; reviewer time is separately budgeted.</x:v>
      </x:c>
      <x:c r="Y110" s="12" t="n">
        <x:f>INT((M110-'Import Guide'!$B$3)/7)+1</x:f>
        <x:v>3</x:v>
      </x:c>
      <x:c r="Z110" s="12" t="str">
        <x:f>VLOOKUP(A110,'Dependencies'!$A$2:$G$224,7,FALSE)</x:f>
        <x:v>OK</x:v>
      </x:c>
      <x:c r="AA110" s="12" t="str">
        <x:f>IF(COUNTIFS('Milestones'!$A$2:$A$7,G110)&lt;&gt;1,"BAD GATE",IF(M110&lt;=VLOOKUP(G110,'Milestones'!$A$2:$C$7,3,FALSE),"OK","LATE"))</x:f>
        <x:v>OK</x:v>
      </x:c>
      <x:c r="AB110" s="12" t="n">
        <x:f>IF(OR(V110="Done",V110="Cut"),"",M110-TODAY())</x:f>
        <x:v>19</x:v>
      </x:c>
    </x:row>
    <x:row r="111" ht="90" customHeight="1">
      <x:c r="A111" s="7" t="str">
        <x:v>G4-01</x:v>
      </x:c>
      <x:c r="B111" s="7" t="str">
        <x:v>Freeze admitted extensions and the live demo configuration</x:v>
      </x:c>
      <x:c r="C111" s="9" t="str">
        <x:v>Use conditional tasks only as evidence; cut failed flags without weakening baseline thresholds.</x:v>
      </x:c>
      <x:c r="D111" s="9" t="str">
        <x:v>Each flag has pass/cut reason and evidence; baseline rerun after final change; no feature merge after freeze except fixes.</x:v>
      </x:c>
      <x:c r="E111" s="7" t="str">
        <x:v>Process</x:v>
      </x:c>
      <x:c r="F111" s="7" t="str">
        <x:v>B</x:v>
      </x:c>
      <x:c r="G111" s="7" t="str">
        <x:v>G4</x:v>
      </x:c>
      <x:c r="H111" s="7" t="str">
        <x:v>P0 must</x:v>
      </x:c>
      <x:c r="I111" s="7" t="str">
        <x:v>Mohammad</x:v>
      </x:c>
      <x:c r="J111" s="7" t="str">
        <x:f>IF(VLOOKUP(I111,'Team'!$A$2:$B$7,2,FALSE)="","",VLOOKUP(I111,'Team'!$A$2:$B$7,2,FALSE))</x:f>
        <x:v>kkaaman</x:v>
      </x:c>
      <x:c r="K111" s="7" t="str">
        <x:v>Alan</x:v>
      </x:c>
      <x:c r="L111" s="10" t="n">
        <x:v>46323</x:v>
      </x:c>
      <x:c r="M111" s="10" t="n">
        <x:v>46323</x:v>
      </x:c>
      <x:c r="N111" s="11" t="n">
        <x:v>1.5</x:v>
      </x:c>
      <x:c r="O111" s="7" t="str">
        <x:v>E1-05,E2-06,E3-05,E4-12,E5-07,TEST-11</x:v>
      </x:c>
      <x:c r="P111" s="7" t="str">
        <x:v>DOC-07, DOC-08, TEST-12, DEMO-01, DOC-13, DOC-14, TEST-20, TEST-21, DOC-16</x:v>
      </x:c>
      <x:c r="Q111" s="7" t="str">
        <x:v>N</x:v>
      </x:c>
      <x:c r="R111" s="7" t="str">
        <x:v>docs/gates/G4.md; configs/release.yaml</x:v>
      </x:c>
      <x:c r="S111" s="7" t="str">
        <x:v>Release configuration and cut list</x:v>
      </x:c>
      <x:c r="T111" s="7" t="str">
        <x:v>Scope and rationale</x:v>
      </x:c>
      <x:c r="U111" s="7" t="str">
        <x:v>workstream:b;priority:p0;category:process</x:v>
      </x:c>
      <x:c r="V111" s="7" t="str">
        <x:v>Todo</x:v>
      </x:c>
      <x:c r="W111" s="7" t="str"/>
      <x:c r="X111" s="9" t="str">
        <x:v>Internal Sydney date. Estimate includes implementation, author checks and handoff; reviewer time is separately budgeted.</x:v>
      </x:c>
      <x:c r="Y111" s="12" t="n">
        <x:f>INT((M111-'Import Guide'!$B$3)/7)+1</x:f>
        <x:v>3</x:v>
      </x:c>
      <x:c r="Z111" s="12" t="str">
        <x:f>VLOOKUP(A111,'Dependencies'!$A$2:$G$224,7,FALSE)</x:f>
        <x:v>OK</x:v>
      </x:c>
      <x:c r="AA111" s="12" t="str">
        <x:f>IF(COUNTIFS('Milestones'!$A$2:$A$7,G111)&lt;&gt;1,"BAD GATE",IF(M111&lt;=VLOOKUP(G111,'Milestones'!$A$2:$C$7,3,FALSE),"OK","LATE"))</x:f>
        <x:v>OK</x:v>
      </x:c>
      <x:c r="AB111" s="12" t="n">
        <x:f>IF(OR(V111="Done",V111="Cut"),"",M111-TODAY())</x:f>
        <x:v>20</x:v>
      </x:c>
    </x:row>
    <x:row r="112" ht="90" customHeight="1">
      <x:c r="A112" s="7" t="str">
        <x:v>DOC-06</x:v>
      </x:c>
      <x:c r="B112" s="7" t="str">
        <x:v>Produce final metrics table and report figures</x:v>
      </x:c>
      <x:c r="C112" s="9" t="str">
        <x:v>Create compact architecture, before/after CTE and stop timeline plus selective extension result table.</x:v>
      </x:c>
      <x:c r="D112" s="9" t="str">
        <x:v>Figures legible at report size, correct units/denominators, captions explain conditions and all claims reproducible.</x:v>
      </x:c>
      <x:c r="E112" s="7" t="str">
        <x:v>Docs &amp; Report</x:v>
      </x:c>
      <x:c r="F112" s="7" t="str">
        <x:v>C</x:v>
      </x:c>
      <x:c r="G112" s="7" t="str">
        <x:v>G4</x:v>
      </x:c>
      <x:c r="H112" s="7" t="str">
        <x:v>P0 must</x:v>
      </x:c>
      <x:c r="I112" s="7" t="str">
        <x:v>Ricky</x:v>
      </x:c>
      <x:c r="J112" s="7" t="str">
        <x:f>IF(VLOOKUP(I112,'Team'!$A$2:$B$7,2,FALSE)="","",VLOOKUP(I112,'Team'!$A$2:$B$7,2,FALSE))</x:f>
      </x:c>
      <x:c r="K112" s="7" t="str">
        <x:v>Saviour</x:v>
      </x:c>
      <x:c r="L112" s="10" t="n">
        <x:v>46323</x:v>
      </x:c>
      <x:c r="M112" s="10" t="n">
        <x:v>46323</x:v>
      </x:c>
      <x:c r="N112" s="11" t="n">
        <x:v>2</x:v>
      </x:c>
      <x:c r="O112" s="7" t="str">
        <x:v>DOC-04,E4-10,E1-03</x:v>
      </x:c>
      <x:c r="P112" s="7" t="str">
        <x:v>DOC-07, DOC-09, DOC-12</x:v>
      </x:c>
      <x:c r="Q112" s="7" t="str">
        <x:v>N</x:v>
      </x:c>
      <x:c r="R112" s="7" t="str">
        <x:v>docs/report/figures/</x:v>
      </x:c>
      <x:c r="S112" s="7" t="str">
        <x:v>Publication-ready figures</x:v>
      </x:c>
      <x:c r="T112" s="7" t="str">
        <x:v>All four report sections</x:v>
      </x:c>
      <x:c r="U112" s="7" t="str">
        <x:v>workstream:c;priority:p0;category:docs-report</x:v>
      </x:c>
      <x:c r="V112" s="7" t="str">
        <x:v>Todo</x:v>
      </x:c>
      <x:c r="W112" s="7" t="str"/>
      <x:c r="X112" s="9" t="str">
        <x:v>Internal Sydney date. Estimate includes implementation, author checks and handoff; reviewer time is separately budgeted.</x:v>
      </x:c>
      <x:c r="Y112" s="12" t="n">
        <x:f>INT((M112-'Import Guide'!$B$3)/7)+1</x:f>
        <x:v>3</x:v>
      </x:c>
      <x:c r="Z112" s="12" t="str">
        <x:f>VLOOKUP(A112,'Dependencies'!$A$2:$G$224,7,FALSE)</x:f>
        <x:v>OK</x:v>
      </x:c>
      <x:c r="AA112" s="12" t="str">
        <x:f>IF(COUNTIFS('Milestones'!$A$2:$A$7,G112)&lt;&gt;1,"BAD GATE",IF(M112&lt;=VLOOKUP(G112,'Milestones'!$A$2:$C$7,3,FALSE),"OK","LATE"))</x:f>
        <x:v>OK</x:v>
      </x:c>
      <x:c r="AB112" s="12" t="n">
        <x:f>IF(OR(V112="Done",V112="Cut"),"",M112-TODAY())</x:f>
        <x:v>20</x:v>
      </x:c>
    </x:row>
    <x:row r="113" ht="90" customHeight="1">
      <x:c r="A113" s="7" t="str">
        <x:v>DOC-07</x:v>
      </x:c>
      <x:c r="B113" s="7" t="str">
        <x:v>Write design choices and limitations for selected release</x:v>
      </x:c>
      <x:c r="C113" s="9" t="str">
        <x:v>Compare map path versus noisy per-frame route, depth versus pinhole, local versus cloud and cut features.</x:v>
      </x:c>
      <x:c r="D113" s="9" t="str">
        <x:v>Text states actual final flags, simulator pose/topology allowance, green lights and stationary-obstacle limit.</x:v>
      </x:c>
      <x:c r="E113" s="7" t="str">
        <x:v>Docs &amp; Report</x:v>
      </x:c>
      <x:c r="F113" s="7" t="str">
        <x:v>D</x:v>
      </x:c>
      <x:c r="G113" s="7" t="str">
        <x:v>G5</x:v>
      </x:c>
      <x:c r="H113" s="7" t="str">
        <x:v>P0 must</x:v>
      </x:c>
      <x:c r="I113" s="7" t="str">
        <x:v>Alan</x:v>
      </x:c>
      <x:c r="J113" s="7" t="str">
        <x:f>IF(VLOOKUP(I113,'Team'!$A$2:$B$7,2,FALSE)="","",VLOOKUP(I113,'Team'!$A$2:$B$7,2,FALSE))</x:f>
      </x:c>
      <x:c r="K113" s="7" t="str">
        <x:v>Mohammad</x:v>
      </x:c>
      <x:c r="L113" s="10" t="n">
        <x:v>46324</x:v>
      </x:c>
      <x:c r="M113" s="10" t="n">
        <x:v>46324</x:v>
      </x:c>
      <x:c r="N113" s="11" t="n">
        <x:v>2</x:v>
      </x:c>
      <x:c r="O113" s="7" t="str">
        <x:v>G4-01,DOC-06</x:v>
      </x:c>
      <x:c r="P113" s="7" t="str">
        <x:v>DOC-09</x:v>
      </x:c>
      <x:c r="Q113" s="7" t="str">
        <x:v>N</x:v>
      </x:c>
      <x:c r="R113" s="7" t="str">
        <x:v>docs/report/</x:v>
      </x:c>
      <x:c r="S113" s="7" t="str">
        <x:v>Design decisions and limitations text</x:v>
      </x:c>
      <x:c r="T113" s="7" t="str">
        <x:v>All four report sections</x:v>
      </x:c>
      <x:c r="U113" s="7" t="str">
        <x:v>workstream:d;priority:p0;category:docs-report</x:v>
      </x:c>
      <x:c r="V113" s="7" t="str">
        <x:v>Todo</x:v>
      </x:c>
      <x:c r="W113" s="7" t="str"/>
      <x:c r="X113" s="9" t="str">
        <x:v>Internal Sydney date. Estimate includes implementation, author checks and handoff; reviewer time is separately budgeted.</x:v>
      </x:c>
      <x:c r="Y113" s="12" t="n">
        <x:f>INT((M113-'Import Guide'!$B$3)/7)+1</x:f>
        <x:v>3</x:v>
      </x:c>
      <x:c r="Z113" s="12" t="str">
        <x:f>VLOOKUP(A113,'Dependencies'!$A$2:$G$224,7,FALSE)</x:f>
        <x:v>OK</x:v>
      </x:c>
      <x:c r="AA113" s="12" t="str">
        <x:f>IF(COUNTIFS('Milestones'!$A$2:$A$7,G113)&lt;&gt;1,"BAD GATE",IF(M113&lt;=VLOOKUP(G113,'Milestones'!$A$2:$C$7,3,FALSE),"OK","LATE"))</x:f>
        <x:v>OK</x:v>
      </x:c>
      <x:c r="AB113" s="12" t="n">
        <x:f>IF(OR(V113="Done",V113="Cut"),"",M113-TODAY())</x:f>
        <x:v>21</x:v>
      </x:c>
    </x:row>
    <x:row r="114" ht="90" customHeight="1">
      <x:c r="A114" s="7" t="str">
        <x:v>DOC-08</x:v>
      </x:c>
      <x:c r="B114" s="7" t="str">
        <x:v>Verify core fresh clone as a non-author of application modules</x:v>
      </x:c>
      <x:c r="C114" s="9" t="str">
        <x:v>Clone new directory, fetch LFS, install, run lint/tests/docs and harness; use only README instructions.</x:v>
      </x:c>
      <x:c r="D114" s="9" t="str">
        <x:v>Clean-clone log records commands/versions and fixes; no hidden local files needed.</x:v>
      </x:c>
      <x:c r="E114" s="7" t="str">
        <x:v>Docs &amp; Report</x:v>
      </x:c>
      <x:c r="F114" s="7" t="str">
        <x:v>F</x:v>
      </x:c>
      <x:c r="G114" s="7" t="str">
        <x:v>G5</x:v>
      </x:c>
      <x:c r="H114" s="7" t="str">
        <x:v>P0 must</x:v>
      </x:c>
      <x:c r="I114" s="7" t="str">
        <x:v>Saviour</x:v>
      </x:c>
      <x:c r="J114" s="7" t="str">
        <x:f>IF(VLOOKUP(I114,'Team'!$A$2:$B$7,2,FALSE)="","",VLOOKUP(I114,'Team'!$A$2:$B$7,2,FALSE))</x:f>
      </x:c>
      <x:c r="K114" s="7" t="str">
        <x:v>Ricky</x:v>
      </x:c>
      <x:c r="L114" s="10" t="n">
        <x:v>46324</x:v>
      </x:c>
      <x:c r="M114" s="10" t="n">
        <x:v>46324</x:v>
      </x:c>
      <x:c r="N114" s="11" t="n">
        <x:v>2</x:v>
      </x:c>
      <x:c r="O114" s="7" t="str">
        <x:v>DOC-05,G4-01</x:v>
      </x:c>
      <x:c r="P114" s="7" t="str">
        <x:v>G5-01, TEST-19</x:v>
      </x:c>
      <x:c r="Q114" s="7" t="str">
        <x:v>N</x:v>
      </x:c>
      <x:c r="R114" s="7" t="str">
        <x:v>README.md; docs/reproduction.md</x:v>
      </x:c>
      <x:c r="S114" s="7" t="str">
        <x:v>Fresh-clone core verification</x:v>
      </x:c>
      <x:c r="T114" s="7" t="str">
        <x:v>All four report sections</x:v>
      </x:c>
      <x:c r="U114" s="7" t="str">
        <x:v>workstream:f;priority:p0;category:docs-report</x:v>
      </x:c>
      <x:c r="V114" s="7" t="str">
        <x:v>Todo</x:v>
      </x:c>
      <x:c r="W114" s="7" t="str"/>
      <x:c r="X114" s="9" t="str">
        <x:v>Internal Sydney date. Estimate includes implementation, author checks and handoff; reviewer time is separately budgeted.</x:v>
      </x:c>
      <x:c r="Y114" s="12" t="n">
        <x:f>INT((M114-'Import Guide'!$B$3)/7)+1</x:f>
        <x:v>3</x:v>
      </x:c>
      <x:c r="Z114" s="12" t="str">
        <x:f>VLOOKUP(A114,'Dependencies'!$A$2:$G$224,7,FALSE)</x:f>
        <x:v>OK</x:v>
      </x:c>
      <x:c r="AA114" s="12" t="str">
        <x:f>IF(COUNTIFS('Milestones'!$A$2:$A$7,G114)&lt;&gt;1,"BAD GATE",IF(M114&lt;=VLOOKUP(G114,'Milestones'!$A$2:$C$7,3,FALSE),"OK","LATE"))</x:f>
        <x:v>OK</x:v>
      </x:c>
      <x:c r="AB114" s="12" t="n">
        <x:f>IF(OR(V114="Done",V114="Cut"),"",M114-TODAY())</x:f>
        <x:v>21</x:v>
      </x:c>
    </x:row>
    <x:row r="115" ht="90" customHeight="1">
      <x:c r="A115" s="7" t="str">
        <x:v>TEST-12</x:v>
      </x:c>
      <x:c r="B115" s="7" t="str">
        <x:v>Reproduce complete demo from a fresh clone on backup machine</x:v>
      </x:c>
      <x:c r="C115" s="9" t="str">
        <x:v>Alan follows docs for adapter/planner modules primarily authored by others; use local weights and network-off mode.</x:v>
      </x:c>
      <x:c r="D115" s="9" t="str">
        <x:v>Entire mission and required sensors work from fresh checkout; capture hardware differences and final hash.</x:v>
      </x:c>
      <x:c r="E115" s="7" t="str">
        <x:v>Testing</x:v>
      </x:c>
      <x:c r="F115" s="7" t="str">
        <x:v>D</x:v>
      </x:c>
      <x:c r="G115" s="7" t="str">
        <x:v>G5</x:v>
      </x:c>
      <x:c r="H115" s="7" t="str">
        <x:v>P0 must</x:v>
      </x:c>
      <x:c r="I115" s="7" t="str">
        <x:v>Alan</x:v>
      </x:c>
      <x:c r="J115" s="7" t="str">
        <x:f>IF(VLOOKUP(I115,'Team'!$A$2:$B$7,2,FALSE)="","",VLOOKUP(I115,'Team'!$A$2:$B$7,2,FALSE))</x:f>
      </x:c>
      <x:c r="K115" s="7" t="str">
        <x:v>Mohammad</x:v>
      </x:c>
      <x:c r="L115" s="10" t="n">
        <x:v>46324</x:v>
      </x:c>
      <x:c r="M115" s="10" t="n">
        <x:v>46324</x:v>
      </x:c>
      <x:c r="N115" s="11" t="n">
        <x:v>2.5</x:v>
      </x:c>
      <x:c r="O115" s="7" t="str">
        <x:v>G4-01,DOC-03</x:v>
      </x:c>
      <x:c r="P115" s="7" t="str">
        <x:v>DEMO-02, DEMO-03</x:v>
      </x:c>
      <x:c r="Q115" s="7" t="str">
        <x:v>Y</x:v>
      </x:c>
      <x:c r="R115" s="7" t="str">
        <x:v>configs/release.yaml; docs/reproduction.md</x:v>
      </x:c>
      <x:c r="S115" s="7" t="str">
        <x:v>Independent CARLA reproduction log</x:v>
      </x:c>
      <x:c r="T115" s="7" t="str">
        <x:v>Evidence and limitations</x:v>
      </x:c>
      <x:c r="U115" s="7" t="str">
        <x:v>workstream:d;priority:p0;carla-required;category:testing</x:v>
      </x:c>
      <x:c r="V115" s="7" t="str">
        <x:v>Todo</x:v>
      </x:c>
      <x:c r="W115" s="7" t="str"/>
      <x:c r="X115" s="9" t="str">
        <x:v>Internal Sydney date. Estimate includes implementation, author checks and handoff; reviewer time is separately budgeted.</x:v>
      </x:c>
      <x:c r="Y115" s="12" t="n">
        <x:f>INT((M115-'Import Guide'!$B$3)/7)+1</x:f>
        <x:v>3</x:v>
      </x:c>
      <x:c r="Z115" s="12" t="str">
        <x:f>VLOOKUP(A115,'Dependencies'!$A$2:$G$224,7,FALSE)</x:f>
        <x:v>OK</x:v>
      </x:c>
      <x:c r="AA115" s="12" t="str">
        <x:f>IF(COUNTIFS('Milestones'!$A$2:$A$7,G115)&lt;&gt;1,"BAD GATE",IF(M115&lt;=VLOOKUP(G115,'Milestones'!$A$2:$C$7,3,FALSE),"OK","LATE"))</x:f>
        <x:v>OK</x:v>
      </x:c>
      <x:c r="AB115" s="12" t="n">
        <x:f>IF(OR(V115="Done",V115="Cut"),"",M115-TODAY())</x:f>
        <x:v>21</x:v>
      </x:c>
    </x:row>
    <x:row r="116" ht="90" customHeight="1">
      <x:c r="A116" s="7" t="str">
        <x:v>DEMO-01</x:v>
      </x:c>
      <x:c r="B116" s="7" t="str">
        <x:v>Write an eight-minute demo script with named speakers</x:v>
      </x:c>
      <x:c r="C116" s="9" t="str">
        <x:v>Allocate six speaking roles, live S1/S2 proof, evidence screens and extension segment; reserve Q&amp;A two minutes.</x:v>
      </x:c>
      <x:c r="D116" s="9" t="str">
        <x:v>Timed run-of-show fits 8 min; commands and recovery-to-video steps copied into demo checklist.</x:v>
      </x:c>
      <x:c r="E116" s="7" t="str">
        <x:v>Demo</x:v>
      </x:c>
      <x:c r="F116" s="7" t="str">
        <x:v>E</x:v>
      </x:c>
      <x:c r="G116" s="7" t="str">
        <x:v>G4</x:v>
      </x:c>
      <x:c r="H116" s="7" t="str">
        <x:v>P0 must</x:v>
      </x:c>
      <x:c r="I116" s="7" t="str">
        <x:v>Abdullah</x:v>
      </x:c>
      <x:c r="J116" s="7" t="str">
        <x:f>IF(VLOOKUP(I116,'Team'!$A$2:$B$7,2,FALSE)="","",VLOOKUP(I116,'Team'!$A$2:$B$7,2,FALSE))</x:f>
      </x:c>
      <x:c r="K116" s="7" t="str">
        <x:v>Zhaolin</x:v>
      </x:c>
      <x:c r="L116" s="10" t="n">
        <x:v>46323</x:v>
      </x:c>
      <x:c r="M116" s="10" t="n">
        <x:v>46323</x:v>
      </x:c>
      <x:c r="N116" s="11" t="n">
        <x:v>1.5</x:v>
      </x:c>
      <x:c r="O116" s="7" t="str">
        <x:v>G4-01</x:v>
      </x:c>
      <x:c r="P116" s="7" t="str">
        <x:v>DEMO-02</x:v>
      </x:c>
      <x:c r="Q116" s="7" t="str">
        <x:v>N</x:v>
      </x:c>
      <x:c r="R116" s="7" t="str">
        <x:v>docs/demo-runbook.md</x:v>
      </x:c>
      <x:c r="S116" s="7" t="str">
        <x:v>Demo script and handover cues</x:v>
      </x:c>
      <x:c r="T116" s="7" t="str">
        <x:v>Evidence and limitations</x:v>
      </x:c>
      <x:c r="U116" s="7" t="str">
        <x:v>workstream:e;priority:p0;category:demo</x:v>
      </x:c>
      <x:c r="V116" s="7" t="str">
        <x:v>Todo</x:v>
      </x:c>
      <x:c r="W116" s="7" t="str"/>
      <x:c r="X116" s="9" t="str">
        <x:v>Internal Sydney date. Estimate includes implementation, author checks and handoff; reviewer time is separately budgeted. Same-day handoff: complete/review G4-01 before starting this task.</x:v>
      </x:c>
      <x:c r="Y116" s="12" t="n">
        <x:f>INT((M116-'Import Guide'!$B$3)/7)+1</x:f>
        <x:v>3</x:v>
      </x:c>
      <x:c r="Z116" s="12" t="str">
        <x:f>VLOOKUP(A116,'Dependencies'!$A$2:$G$224,7,FALSE)</x:f>
        <x:v>OK</x:v>
      </x:c>
      <x:c r="AA116" s="12" t="str">
        <x:f>IF(COUNTIFS('Milestones'!$A$2:$A$7,G116)&lt;&gt;1,"BAD GATE",IF(M116&lt;=VLOOKUP(G116,'Milestones'!$A$2:$C$7,3,FALSE),"OK","LATE"))</x:f>
        <x:v>OK</x:v>
      </x:c>
      <x:c r="AB116" s="12" t="n">
        <x:f>IF(OR(V116="Done",V116="Cut"),"",M116-TODAY())</x:f>
        <x:v>20</x:v>
      </x:c>
    </x:row>
    <x:row r="117" ht="90" customHeight="1">
      <x:c r="A117" s="7" t="str">
        <x:v>DEMO-02</x:v>
      </x:c>
      <x:c r="B117" s="7" t="str">
        <x:v>Record backup demonstration and evidence screenshots</x:v>
      </x:c>
      <x:c r="C117" s="9" t="str">
        <x:v>Capture complete baseline and admitted extension snippets on final release hash; include readable metrics.</x:v>
      </x:c>
      <x:c r="D117" s="9" t="str">
        <x:v>Video plays offline on both laptops with audio/captions as needed; file ready for Canvas submission.</x:v>
      </x:c>
      <x:c r="E117" s="7" t="str">
        <x:v>Demo</x:v>
      </x:c>
      <x:c r="F117" s="7" t="str">
        <x:v>B</x:v>
      </x:c>
      <x:c r="G117" s="7" t="str">
        <x:v>G5</x:v>
      </x:c>
      <x:c r="H117" s="7" t="str">
        <x:v>P0 must</x:v>
      </x:c>
      <x:c r="I117" s="7" t="str">
        <x:v>Mohammad</x:v>
      </x:c>
      <x:c r="J117" s="7" t="str">
        <x:f>IF(VLOOKUP(I117,'Team'!$A$2:$B$7,2,FALSE)="","",VLOOKUP(I117,'Team'!$A$2:$B$7,2,FALSE))</x:f>
        <x:v>kkaaman</x:v>
      </x:c>
      <x:c r="K117" s="7" t="str">
        <x:v>Alan</x:v>
      </x:c>
      <x:c r="L117" s="10" t="n">
        <x:v>46324</x:v>
      </x:c>
      <x:c r="M117" s="10" t="n">
        <x:v>46324</x:v>
      </x:c>
      <x:c r="N117" s="11" t="n">
        <x:v>2</x:v>
      </x:c>
      <x:c r="O117" s="7" t="str">
        <x:v>DEMO-01,TEST-12</x:v>
      </x:c>
      <x:c r="P117" s="7" t="str">
        <x:v>DEMO-03, G5-01, TEST-21, DEMO-MOH-R1, DEMO-RIC-R1, DEMO-ALA-R1, DEMO-ZHA-R1, DEMO-SAV-R1, DOC-18</x:v>
      </x:c>
      <x:c r="Q117" s="7" t="str">
        <x:v>Y</x:v>
      </x:c>
      <x:c r="R117" s="7" t="str">
        <x:v>docs/demo/; scripts/run_scenario.py</x:v>
      </x:c>
      <x:c r="S117" s="7" t="str">
        <x:v>Backup video and screenshots</x:v>
      </x:c>
      <x:c r="T117" s="7" t="str">
        <x:v>Evidence and limitations</x:v>
      </x:c>
      <x:c r="U117" s="7" t="str">
        <x:v>workstream:b;priority:p0;carla-required;category:demo</x:v>
      </x:c>
      <x:c r="V117" s="7" t="str">
        <x:v>Todo</x:v>
      </x:c>
      <x:c r="W117" s="7" t="str"/>
      <x:c r="X117" s="9" t="str">
        <x:v>Internal Sydney date. Estimate includes implementation, author checks and handoff; reviewer time is separately budgeted. Same-day handoff: complete/review TEST-12 before starting this task.</x:v>
      </x:c>
      <x:c r="Y117" s="12" t="n">
        <x:f>INT((M117-'Import Guide'!$B$3)/7)+1</x:f>
        <x:v>3</x:v>
      </x:c>
      <x:c r="Z117" s="12" t="str">
        <x:f>VLOOKUP(A117,'Dependencies'!$A$2:$G$224,7,FALSE)</x:f>
        <x:v>OK</x:v>
      </x:c>
      <x:c r="AA117" s="12" t="str">
        <x:f>IF(COUNTIFS('Milestones'!$A$2:$A$7,G117)&lt;&gt;1,"BAD GATE",IF(M117&lt;=VLOOKUP(G117,'Milestones'!$A$2:$C$7,3,FALSE),"OK","LATE"))</x:f>
        <x:v>OK</x:v>
      </x:c>
      <x:c r="AB117" s="12" t="n">
        <x:f>IF(OR(V117="Done",V117="Cut"),"",M117-TODAY())</x:f>
        <x:v>21</x:v>
      </x:c>
    </x:row>
    <x:row r="118" ht="90" customHeight="1">
      <x:c r="A118" s="7" t="str">
        <x:v>DOC-09</x:v>
      </x:c>
      <x:c r="B118" s="7" t="str">
        <x:v>Assemble report PDF and check both length limits</x:v>
      </x:c>
      <x:c r="C118" s="9" t="str">
        <x:v>Target 900-950 words across four sections; verify &lt;=1000 words and &lt;=3 pages conservatively.</x:v>
      </x:c>
      <x:c r="D118" s="9" t="str">
        <x:v>All required sections, citations and limitations present; figures/captions excluded from word count; PDF visually checked.</x:v>
      </x:c>
      <x:c r="E118" s="7" t="str">
        <x:v>Docs &amp; Report</x:v>
      </x:c>
      <x:c r="F118" s="7" t="str">
        <x:v>C</x:v>
      </x:c>
      <x:c r="G118" s="7" t="str">
        <x:v>G5</x:v>
      </x:c>
      <x:c r="H118" s="7" t="str">
        <x:v>P0 must</x:v>
      </x:c>
      <x:c r="I118" s="7" t="str">
        <x:v>Ricky</x:v>
      </x:c>
      <x:c r="J118" s="7" t="str">
        <x:f>IF(VLOOKUP(I118,'Team'!$A$2:$B$7,2,FALSE)="","",VLOOKUP(I118,'Team'!$A$2:$B$7,2,FALSE))</x:f>
      </x:c>
      <x:c r="K118" s="7" t="str">
        <x:v>Saviour</x:v>
      </x:c>
      <x:c r="L118" s="10" t="n">
        <x:v>46325</x:v>
      </x:c>
      <x:c r="M118" s="10" t="n">
        <x:v>46325</x:v>
      </x:c>
      <x:c r="N118" s="11" t="n">
        <x:v>2</x:v>
      </x:c>
      <x:c r="O118" s="7" t="str">
        <x:v>DOC-07,DOC-06</x:v>
      </x:c>
      <x:c r="P118" s="7" t="str">
        <x:v>DOC-10, DOC-15</x:v>
      </x:c>
      <x:c r="Q118" s="7" t="str">
        <x:v>N</x:v>
      </x:c>
      <x:c r="R118" s="7" t="str">
        <x:v>docs/report/report.pdf</x:v>
      </x:c>
      <x:c r="S118" s="7" t="str">
        <x:v>Final draft PDF and count log</x:v>
      </x:c>
      <x:c r="T118" s="7" t="str">
        <x:v>All four report sections</x:v>
      </x:c>
      <x:c r="U118" s="7" t="str">
        <x:v>workstream:c;priority:p0;category:docs-report</x:v>
      </x:c>
      <x:c r="V118" s="7" t="str">
        <x:v>Todo</x:v>
      </x:c>
      <x:c r="W118" s="7" t="str"/>
      <x:c r="X118" s="9" t="str">
        <x:v>Internal Sydney date. Estimate includes implementation, author checks and handoff; reviewer time is separately budgeted.</x:v>
      </x:c>
      <x:c r="Y118" s="12" t="n">
        <x:f>INT((M118-'Import Guide'!$B$3)/7)+1</x:f>
        <x:v>3</x:v>
      </x:c>
      <x:c r="Z118" s="12" t="str">
        <x:f>VLOOKUP(A118,'Dependencies'!$A$2:$G$224,7,FALSE)</x:f>
        <x:v>OK</x:v>
      </x:c>
      <x:c r="AA118" s="12" t="str">
        <x:f>IF(COUNTIFS('Milestones'!$A$2:$A$7,G118)&lt;&gt;1,"BAD GATE",IF(M118&lt;=VLOOKUP(G118,'Milestones'!$A$2:$C$7,3,FALSE),"OK","LATE"))</x:f>
        <x:v>OK</x:v>
      </x:c>
      <x:c r="AB118" s="12" t="n">
        <x:f>IF(OR(V118="Done",V118="Cut"),"",M118-TODAY())</x:f>
        <x:v>22</x:v>
      </x:c>
    </x:row>
    <x:row r="119" ht="90" customHeight="1">
      <x:c r="A119" s="7" t="str">
        <x:v>DOC-10</x:v>
      </x:c>
      <x:c r="B119" s="7" t="str">
        <x:v>Review report claims against raw runs and source code</x:v>
      </x:c>
      <x:c r="C119" s="9" t="str">
        <x:v>A reviewer checks metric definitions, comparison fairness, extension statuses and controller explanation.</x:v>
      </x:c>
      <x:c r="D119" s="9" t="str">
        <x:v>Every numeric claim traces to data; incorrect/unsupported claims fixed before final handoff.</x:v>
      </x:c>
      <x:c r="E119" s="7" t="str">
        <x:v>Docs &amp; Report</x:v>
      </x:c>
      <x:c r="F119" s="7" t="str">
        <x:v>A</x:v>
      </x:c>
      <x:c r="G119" s="7" t="str">
        <x:v>G5</x:v>
      </x:c>
      <x:c r="H119" s="7" t="str">
        <x:v>P0 must</x:v>
      </x:c>
      <x:c r="I119" s="7" t="str">
        <x:v>Zhaolin</x:v>
      </x:c>
      <x:c r="J119" s="7" t="str">
        <x:f>IF(VLOOKUP(I119,'Team'!$A$2:$B$7,2,FALSE)="","",VLOOKUP(I119,'Team'!$A$2:$B$7,2,FALSE))</x:f>
      </x:c>
      <x:c r="K119" s="7" t="str">
        <x:v>Abdullah</x:v>
      </x:c>
      <x:c r="L119" s="10" t="n">
        <x:v>46325</x:v>
      </x:c>
      <x:c r="M119" s="10" t="n">
        <x:v>46325</x:v>
      </x:c>
      <x:c r="N119" s="11" t="n">
        <x:v>1.5</x:v>
      </x:c>
      <x:c r="O119" s="7" t="str">
        <x:v>DOC-09</x:v>
      </x:c>
      <x:c r="P119" s="7" t="str">
        <x:v>DEMO-04, G5-01, DOC-18</x:v>
      </x:c>
      <x:c r="Q119" s="7" t="str">
        <x:v>N</x:v>
      </x:c>
      <x:c r="R119" s="7" t="str">
        <x:v>docs/report/; docs/evidence-index.md</x:v>
      </x:c>
      <x:c r="S119" s="7" t="str">
        <x:v>Report review checklist</x:v>
      </x:c>
      <x:c r="T119" s="7" t="str">
        <x:v>All four report sections</x:v>
      </x:c>
      <x:c r="U119" s="7" t="str">
        <x:v>workstream:a;priority:p0;category:docs-report</x:v>
      </x:c>
      <x:c r="V119" s="7" t="str">
        <x:v>Todo</x:v>
      </x:c>
      <x:c r="W119" s="7" t="str"/>
      <x:c r="X119" s="9" t="str">
        <x:v>Internal Sydney date. Estimate includes implementation, author checks and handoff; reviewer time is separately budgeted. Same-day handoff: complete/review DOC-09 before starting this task.</x:v>
      </x:c>
      <x:c r="Y119" s="12" t="n">
        <x:f>INT((M119-'Import Guide'!$B$3)/7)+1</x:f>
        <x:v>3</x:v>
      </x:c>
      <x:c r="Z119" s="12" t="str">
        <x:f>VLOOKUP(A119,'Dependencies'!$A$2:$G$224,7,FALSE)</x:f>
        <x:v>OK</x:v>
      </x:c>
      <x:c r="AA119" s="12" t="str">
        <x:f>IF(COUNTIFS('Milestones'!$A$2:$A$7,G119)&lt;&gt;1,"BAD GATE",IF(M119&lt;=VLOOKUP(G119,'Milestones'!$A$2:$C$7,3,FALSE),"OK","LATE"))</x:f>
        <x:v>OK</x:v>
      </x:c>
      <x:c r="AB119" s="12" t="n">
        <x:f>IF(OR(V119="Done",V119="Cut"),"",M119-TODAY())</x:f>
        <x:v>22</x:v>
      </x:c>
    </x:row>
    <x:row r="120" ht="90" customHeight="1">
      <x:c r="A120" s="7" t="str">
        <x:v>DEMO-03</x:v>
      </x:c>
      <x:c r="B120" s="7" t="str">
        <x:v>Lead rehearsal one on the demo laptop</x:v>
      </x:c>
      <x:c r="C120" s="9" t="str">
        <x:v>Run full 8-minute show and 2-minute random Q&amp;A with all six present.</x:v>
      </x:c>
      <x:c r="D120" s="9" t="str">
        <x:v>Time, failures and every member's knowledge gaps recorded; offline backup launch practiced.</x:v>
      </x:c>
      <x:c r="E120" s="7" t="str">
        <x:v>Demo</x:v>
      </x:c>
      <x:c r="F120" s="7" t="str">
        <x:v>E</x:v>
      </x:c>
      <x:c r="G120" s="7" t="str">
        <x:v>G5</x:v>
      </x:c>
      <x:c r="H120" s="7" t="str">
        <x:v>P0 must</x:v>
      </x:c>
      <x:c r="I120" s="7" t="str">
        <x:v>Abdullah</x:v>
      </x:c>
      <x:c r="J120" s="7" t="str">
        <x:f>IF(VLOOKUP(I120,'Team'!$A$2:$B$7,2,FALSE)="","",VLOOKUP(I120,'Team'!$A$2:$B$7,2,FALSE))</x:f>
      </x:c>
      <x:c r="K120" s="7" t="str">
        <x:v>Zhaolin</x:v>
      </x:c>
      <x:c r="L120" s="10" t="n">
        <x:v>46325</x:v>
      </x:c>
      <x:c r="M120" s="10" t="n">
        <x:v>46325</x:v>
      </x:c>
      <x:c r="N120" s="11" t="n">
        <x:v>1</x:v>
      </x:c>
      <x:c r="O120" s="7" t="str">
        <x:v>DEMO-02,TEST-12</x:v>
      </x:c>
      <x:c r="P120" s="7" t="str">
        <x:v>DEMO-04, DEMO-MOH-R2, DEMO-ABD-R2, DEMO-RIC-R2, DEMO-ALA-R2, DEMO-SAV-R2</x:v>
      </x:c>
      <x:c r="Q120" s="7" t="str">
        <x:v>Y</x:v>
      </x:c>
      <x:c r="R120" s="7" t="str">
        <x:v>docs/demo-runbook.md</x:v>
      </x:c>
      <x:c r="S120" s="7" t="str">
        <x:v>Rehearsal one log</x:v>
      </x:c>
      <x:c r="T120" s="7" t="str">
        <x:v>Evidence and limitations</x:v>
      </x:c>
      <x:c r="U120" s="7" t="str">
        <x:v>workstream:e;priority:p0;carla-required;category:demo</x:v>
      </x:c>
      <x:c r="V120" s="7" t="str">
        <x:v>Todo</x:v>
      </x:c>
      <x:c r="W120" s="7" t="str"/>
      <x:c r="X120" s="9" t="str">
        <x:v>Internal Sydney date. Estimate includes implementation, author checks and handoff; reviewer time is separately budgeted.</x:v>
      </x:c>
      <x:c r="Y120" s="12" t="n">
        <x:f>INT((M120-'Import Guide'!$B$3)/7)+1</x:f>
        <x:v>3</x:v>
      </x:c>
      <x:c r="Z120" s="12" t="str">
        <x:f>VLOOKUP(A120,'Dependencies'!$A$2:$G$224,7,FALSE)</x:f>
        <x:v>OK</x:v>
      </x:c>
      <x:c r="AA120" s="12" t="str">
        <x:f>IF(COUNTIFS('Milestones'!$A$2:$A$7,G120)&lt;&gt;1,"BAD GATE",IF(M120&lt;=VLOOKUP(G120,'Milestones'!$A$2:$C$7,3,FALSE),"OK","LATE"))</x:f>
        <x:v>OK</x:v>
      </x:c>
      <x:c r="AB120" s="12" t="n">
        <x:f>IF(OR(V120="Done",V120="Cut"),"",M120-TODAY())</x:f>
        <x:v>22</x:v>
      </x:c>
    </x:row>
    <x:row r="121" ht="90" customHeight="1">
      <x:c r="A121" s="7" t="str">
        <x:v>DEMO-04</x:v>
      </x:c>
      <x:c r="B121" s="7" t="str">
        <x:v>Lead rehearsal two and cross-module Q&amp;A</x:v>
      </x:c>
      <x:c r="C121" s="9" t="str">
        <x:v>Use final script and random member selection; verify backup laptop and power/display setup.</x:v>
      </x:c>
      <x:c r="D121" s="9" t="str">
        <x:v>All six explain any module; two timed rehearsals complete; final defects resolved or release flag cut.</x:v>
      </x:c>
      <x:c r="E121" s="7" t="str">
        <x:v>Demo</x:v>
      </x:c>
      <x:c r="F121" s="7" t="str">
        <x:v>A</x:v>
      </x:c>
      <x:c r="G121" s="7" t="str">
        <x:v>G5</x:v>
      </x:c>
      <x:c r="H121" s="7" t="str">
        <x:v>P0 must</x:v>
      </x:c>
      <x:c r="I121" s="7" t="str">
        <x:v>Zhaolin</x:v>
      </x:c>
      <x:c r="J121" s="7" t="str">
        <x:f>IF(VLOOKUP(I121,'Team'!$A$2:$B$7,2,FALSE)="","",VLOOKUP(I121,'Team'!$A$2:$B$7,2,FALSE))</x:f>
      </x:c>
      <x:c r="K121" s="7" t="str">
        <x:v>Abdullah</x:v>
      </x:c>
      <x:c r="L121" s="10" t="n">
        <x:v>46326</x:v>
      </x:c>
      <x:c r="M121" s="10" t="n">
        <x:v>46326</x:v>
      </x:c>
      <x:c r="N121" s="11" t="n">
        <x:v>1</x:v>
      </x:c>
      <x:c r="O121" s="7" t="str">
        <x:v>DEMO-03,DOC-10</x:v>
      </x:c>
      <x:c r="P121" s="7" t="str">
        <x:v>G5-01</x:v>
      </x:c>
      <x:c r="Q121" s="7" t="str">
        <x:v>Y</x:v>
      </x:c>
      <x:c r="R121" s="7" t="str">
        <x:v>docs/demo-runbook.md</x:v>
      </x:c>
      <x:c r="S121" s="7" t="str">
        <x:v>Rehearsal two log</x:v>
      </x:c>
      <x:c r="T121" s="7" t="str">
        <x:v>Evidence and limitations</x:v>
      </x:c>
      <x:c r="U121" s="7" t="str">
        <x:v>workstream:a;priority:p0;carla-required;category:demo</x:v>
      </x:c>
      <x:c r="V121" s="7" t="str">
        <x:v>Todo</x:v>
      </x:c>
      <x:c r="W121" s="7" t="str"/>
      <x:c r="X121" s="9" t="str">
        <x:v>Internal Sydney date. Estimate includes implementation, author checks and handoff; reviewer time is separately budgeted.</x:v>
      </x:c>
      <x:c r="Y121" s="12" t="n">
        <x:f>INT((M121-'Import Guide'!$B$3)/7)+1</x:f>
        <x:v>3</x:v>
      </x:c>
      <x:c r="Z121" s="12" t="str">
        <x:f>VLOOKUP(A121,'Dependencies'!$A$2:$G$224,7,FALSE)</x:f>
        <x:v>OK</x:v>
      </x:c>
      <x:c r="AA121" s="12" t="str">
        <x:f>IF(COUNTIFS('Milestones'!$A$2:$A$7,G121)&lt;&gt;1,"BAD GATE",IF(M121&lt;=VLOOKUP(G121,'Milestones'!$A$2:$C$7,3,FALSE),"OK","LATE"))</x:f>
        <x:v>OK</x:v>
      </x:c>
      <x:c r="AB121" s="12" t="n">
        <x:f>IF(OR(V121="Done",V121="Cut"),"",M121-TODAY())</x:f>
        <x:v>23</x:v>
      </x:c>
    </x:row>
    <x:row r="122" ht="90" customHeight="1">
      <x:c r="A122" s="7" t="str">
        <x:v>G5-01</x:v>
      </x:c>
      <x:c r="B122" s="7" t="str">
        <x:v>Check submission readiness and prepare final release</x:v>
      </x:c>
      <x:c r="C122" s="9" t="str">
        <x:v>Verify report, repo URL, final tag, backup video, docs and known real deadlines; distribute checklist privately.</x:v>
      </x:c>
      <x:c r="D122" s="9" t="str">
        <x:v>All artifacts ready; official Canvas submissions marked pending until each member confirms; no false submission claim.</x:v>
      </x:c>
      <x:c r="E122" s="7" t="str">
        <x:v>Process</x:v>
      </x:c>
      <x:c r="F122" s="7" t="str">
        <x:v>F</x:v>
      </x:c>
      <x:c r="G122" s="7" t="str">
        <x:v>G5</x:v>
      </x:c>
      <x:c r="H122" s="7" t="str">
        <x:v>P0 must</x:v>
      </x:c>
      <x:c r="I122" s="7" t="str">
        <x:v>Saviour</x:v>
      </x:c>
      <x:c r="J122" s="7" t="str">
        <x:f>IF(VLOOKUP(I122,'Team'!$A$2:$B$7,2,FALSE)="","",VLOOKUP(I122,'Team'!$A$2:$B$7,2,FALSE))</x:f>
      </x:c>
      <x:c r="K122" s="7" t="str">
        <x:v>Ricky</x:v>
      </x:c>
      <x:c r="L122" s="10" t="n">
        <x:v>46326</x:v>
      </x:c>
      <x:c r="M122" s="10" t="n">
        <x:v>46326</x:v>
      </x:c>
      <x:c r="N122" s="11" t="n">
        <x:v>1</x:v>
      </x:c>
      <x:c r="O122" s="7" t="str">
        <x:v>DEMO-04,DOC-10,DOC-08,DEMO-02</x:v>
      </x:c>
      <x:c r="P122" s="7" t="str"/>
      <x:c r="Q122" s="7" t="str">
        <x:v>N</x:v>
      </x:c>
      <x:c r="R122" s="7" t="str">
        <x:v>docs/release-checklist.md</x:v>
      </x:c>
      <x:c r="S122" s="7" t="str">
        <x:v>G5 signed readiness checklist</x:v>
      </x:c>
      <x:c r="T122" s="7" t="str">
        <x:v>Scope and rationale</x:v>
      </x:c>
      <x:c r="U122" s="7" t="str">
        <x:v>workstream:f;priority:p0;category:process</x:v>
      </x:c>
      <x:c r="V122" s="7" t="str">
        <x:v>Todo</x:v>
      </x:c>
      <x:c r="W122" s="7" t="str"/>
      <x:c r="X122" s="9" t="str">
        <x:v>Internal Sydney date. Estimate includes implementation, author checks and handoff; reviewer time is separately budgeted. Same-day handoff: complete/review DEMO-04 before starting this task.</x:v>
      </x:c>
      <x:c r="Y122" s="12" t="n">
        <x:f>INT((M122-'Import Guide'!$B$3)/7)+1</x:f>
        <x:v>3</x:v>
      </x:c>
      <x:c r="Z122" s="12" t="str">
        <x:f>VLOOKUP(A122,'Dependencies'!$A$2:$G$224,7,FALSE)</x:f>
        <x:v>OK</x:v>
      </x:c>
      <x:c r="AA122" s="12" t="str">
        <x:f>IF(COUNTIFS('Milestones'!$A$2:$A$7,G122)&lt;&gt;1,"BAD GATE",IF(M122&lt;=VLOOKUP(G122,'Milestones'!$A$2:$C$7,3,FALSE),"OK","LATE"))</x:f>
        <x:v>OK</x:v>
      </x:c>
      <x:c r="AB122" s="12" t="n">
        <x:f>IF(OR(V122="Done",V122="Cut"),"",M122-TODAY())</x:f>
        <x:v>23</x:v>
      </x:c>
    </x:row>
    <x:row r="123" ht="90" customHeight="1">
      <x:c r="A123" s="7" t="str">
        <x:v>TEST-13</x:v>
      </x:c>
      <x:c r="B123" s="7" t="str">
        <x:v>Verify sensor timeout and stale-snapshot stopping</x:v>
      </x:c>
      <x:c r="C123" s="9" t="str">
        <x:v>Inject missing RGB/depth and mismatched ego timestamps; restore sensors after fault.</x:v>
      </x:c>
      <x:c r="D123" s="9" t="str">
        <x:v>Fault sends brake within next available tick; no mixed-frame obstacles; restart requires explicit reset policy.</x:v>
      </x:c>
      <x:c r="E123" s="7" t="str">
        <x:v>Testing</x:v>
      </x:c>
      <x:c r="F123" s="7" t="str">
        <x:v>B</x:v>
      </x:c>
      <x:c r="G123" s="7" t="str">
        <x:v>G1</x:v>
      </x:c>
      <x:c r="H123" s="7" t="str">
        <x:v>P0 must</x:v>
      </x:c>
      <x:c r="I123" s="7" t="str">
        <x:v>Mohammad</x:v>
      </x:c>
      <x:c r="J123" s="7" t="str">
        <x:f>IF(VLOOKUP(I123,'Team'!$A$2:$B$7,2,FALSE)="","",VLOOKUP(I123,'Team'!$A$2:$B$7,2,FALSE))</x:f>
        <x:v>kkaaman</x:v>
      </x:c>
      <x:c r="K123" s="7" t="str">
        <x:v>Alan</x:v>
      </x:c>
      <x:c r="L123" s="10" t="n">
        <x:v>46312</x:v>
      </x:c>
      <x:c r="M123" s="10" t="n">
        <x:v>46312</x:v>
      </x:c>
      <x:c r="N123" s="11" t="n">
        <x:v>2</x:v>
      </x:c>
      <x:c r="O123" s="7" t="str">
        <x:v>BL-B-04</x:v>
      </x:c>
      <x:c r="P123" s="7" t="str"/>
      <x:c r="Q123" s="7" t="str">
        <x:v>Y</x:v>
      </x:c>
      <x:c r="R123" s="7" t="str">
        <x:v>tests/carla/; src/carla_adapter/sensors.py</x:v>
      </x:c>
      <x:c r="S123" s="7" t="str">
        <x:v>Sensor fault-injection trace</x:v>
      </x:c>
      <x:c r="T123" s="7" t="str">
        <x:v>Evidence and limitations</x:v>
      </x:c>
      <x:c r="U123" s="7" t="str">
        <x:v>workstream:b;priority:p0;carla-required;category:testing</x:v>
      </x:c>
      <x:c r="V123" s="7" t="str">
        <x:v>Todo</x:v>
      </x:c>
      <x:c r="W123" s="7" t="str"/>
      <x:c r="X123" s="9" t="str">
        <x:v>Internal Sydney date. Estimate includes implementation, author checks and handoff; reviewer time is separately budgeted.</x:v>
      </x:c>
      <x:c r="Y123" s="12" t="n">
        <x:f>INT((M123-'Import Guide'!$B$3)/7)+1</x:f>
        <x:v>1</x:v>
      </x:c>
      <x:c r="Z123" s="12" t="str">
        <x:f>VLOOKUP(A123,'Dependencies'!$A$2:$G$224,7,FALSE)</x:f>
        <x:v>OK</x:v>
      </x:c>
      <x:c r="AA123" s="12" t="str">
        <x:f>IF(COUNTIFS('Milestones'!$A$2:$A$7,G123)&lt;&gt;1,"BAD GATE",IF(M123&lt;=VLOOKUP(G123,'Milestones'!$A$2:$C$7,3,FALSE),"OK","LATE"))</x:f>
        <x:v>OK</x:v>
      </x:c>
      <x:c r="AB123" s="12" t="n">
        <x:f>IF(OR(V123="Done",V123="Cut"),"",M123-TODAY())</x:f>
        <x:v>9</x:v>
      </x:c>
    </x:row>
    <x:row r="124" ht="90" customHeight="1">
      <x:c r="A124" s="7" t="str">
        <x:v>TEST-14</x:v>
      </x:c>
      <x:c r="B124" s="7" t="str">
        <x:v>Check geometry and stopping metric golden fixtures</x:v>
      </x:c>
      <x:c r="C124" s="9" t="str">
        <x:v>Construct known bumper offsets, signed corridor poses and expected longitudinal gaps.</x:v>
      </x:c>
      <x:c r="D124" s="9" t="str">
        <x:v>Metric output distinguishes Euclidean distance, route gap and stopping surface distance; empty results stay missing.</x:v>
      </x:c>
      <x:c r="E124" s="7" t="str">
        <x:v>Testing</x:v>
      </x:c>
      <x:c r="F124" s="7" t="str">
        <x:v>F</x:v>
      </x:c>
      <x:c r="G124" s="7" t="str">
        <x:v>G1</x:v>
      </x:c>
      <x:c r="H124" s="7" t="str">
        <x:v>P0 must</x:v>
      </x:c>
      <x:c r="I124" s="7" t="str">
        <x:v>Saviour</x:v>
      </x:c>
      <x:c r="J124" s="7" t="str">
        <x:f>IF(VLOOKUP(I124,'Team'!$A$2:$B$7,2,FALSE)="","",VLOOKUP(I124,'Team'!$A$2:$B$7,2,FALSE))</x:f>
      </x:c>
      <x:c r="K124" s="7" t="str">
        <x:v>Ricky</x:v>
      </x:c>
      <x:c r="L124" s="10" t="n">
        <x:v>46313</x:v>
      </x:c>
      <x:c r="M124" s="10" t="n">
        <x:v>46313</x:v>
      </x:c>
      <x:c r="N124" s="11" t="n">
        <x:v>1.5</x:v>
      </x:c>
      <x:c r="O124" s="7" t="str">
        <x:v>BL-F-05</x:v>
      </x:c>
      <x:c r="P124" s="7" t="str"/>
      <x:c r="Q124" s="7" t="str">
        <x:v>N</x:v>
      </x:c>
      <x:c r="R124" s="7" t="str">
        <x:v>tests/unit/test_metrics.py</x:v>
      </x:c>
      <x:c r="S124" s="7" t="str">
        <x:v>Metric audit fixtures</x:v>
      </x:c>
      <x:c r="T124" s="7" t="str">
        <x:v>Evidence and limitations</x:v>
      </x:c>
      <x:c r="U124" s="7" t="str">
        <x:v>workstream:f;priority:p0;category:testing</x:v>
      </x:c>
      <x:c r="V124" s="7" t="str">
        <x:v>Todo</x:v>
      </x:c>
      <x:c r="W124" s="7" t="str"/>
      <x:c r="X124" s="9" t="str">
        <x:v>Internal Sydney date. Estimate includes implementation, author checks and handoff; reviewer time is separately budgeted.</x:v>
      </x:c>
      <x:c r="Y124" s="12" t="n">
        <x:f>INT((M124-'Import Guide'!$B$3)/7)+1</x:f>
        <x:v>1</x:v>
      </x:c>
      <x:c r="Z124" s="12" t="str">
        <x:f>VLOOKUP(A124,'Dependencies'!$A$2:$G$224,7,FALSE)</x:f>
        <x:v>OK</x:v>
      </x:c>
      <x:c r="AA124" s="12" t="str">
        <x:f>IF(COUNTIFS('Milestones'!$A$2:$A$7,G124)&lt;&gt;1,"BAD GATE",IF(M124&lt;=VLOOKUP(G124,'Milestones'!$A$2:$C$7,3,FALSE),"OK","LATE"))</x:f>
        <x:v>OK</x:v>
      </x:c>
      <x:c r="AB124" s="12" t="n">
        <x:f>IF(OR(V124="Done",V124="Cut"),"",M124-TODAY())</x:f>
        <x:v>10</x:v>
      </x:c>
    </x:row>
    <x:row r="125" ht="90" customHeight="1">
      <x:c r="A125" s="7" t="str">
        <x:v>TEST-15</x:v>
      </x:c>
      <x:c r="B125" s="7" t="str">
        <x:v>Stress HOLD under occlusion and missing observations</x:v>
      </x:c>
      <x:c r="C125" s="9" t="str">
        <x:v>Keep physical obstacle present while masking detector outputs, missing depth and switching IDs.</x:v>
      </x:c>
      <x:c r="D125" s="9" t="str">
        <x:v>Vehicle remains stopped for 60 s despite track expiry; resumes only on validated clear observations.</x:v>
      </x:c>
      <x:c r="E125" s="7" t="str">
        <x:v>Testing</x:v>
      </x:c>
      <x:c r="F125" s="7" t="str">
        <x:v>D</x:v>
      </x:c>
      <x:c r="G125" s="7" t="str">
        <x:v>G3</x:v>
      </x:c>
      <x:c r="H125" s="7" t="str">
        <x:v>P0 must</x:v>
      </x:c>
      <x:c r="I125" s="7" t="str">
        <x:v>Alan</x:v>
      </x:c>
      <x:c r="J125" s="7" t="str">
        <x:f>IF(VLOOKUP(I125,'Team'!$A$2:$B$7,2,FALSE)="","",VLOOKUP(I125,'Team'!$A$2:$B$7,2,FALSE))</x:f>
      </x:c>
      <x:c r="K125" s="7" t="str">
        <x:v>Mohammad</x:v>
      </x:c>
      <x:c r="L125" s="10" t="n">
        <x:v>46319</x:v>
      </x:c>
      <x:c r="M125" s="10" t="n">
        <x:v>46319</x:v>
      </x:c>
      <x:c r="N125" s="11" t="n">
        <x:v>3</x:v>
      </x:c>
      <x:c r="O125" s="7" t="str">
        <x:v>TEST-04,TEST-05</x:v>
      </x:c>
      <x:c r="P125" s="7" t="str">
        <x:v>G3-01</x:v>
      </x:c>
      <x:c r="Q125" s="7" t="str">
        <x:v>Y</x:v>
      </x:c>
      <x:c r="R125" s="7" t="str">
        <x:v>tests/carla/; configs/scenarios/fault_hold.yaml</x:v>
      </x:c>
      <x:c r="S125" s="7" t="str">
        <x:v>HOLD fault evidence</x:v>
      </x:c>
      <x:c r="T125" s="7" t="str">
        <x:v>Evidence and limitations</x:v>
      </x:c>
      <x:c r="U125" s="7" t="str">
        <x:v>workstream:d;priority:p0;carla-required;category:testing</x:v>
      </x:c>
      <x:c r="V125" s="7" t="str">
        <x:v>Todo</x:v>
      </x:c>
      <x:c r="W125" s="7" t="str"/>
      <x:c r="X125" s="9" t="str">
        <x:v>Internal Sydney date. Estimate includes implementation, author checks and handoff; reviewer time is separately budgeted.</x:v>
      </x:c>
      <x:c r="Y125" s="12" t="n">
        <x:f>INT((M125-'Import Guide'!$B$3)/7)+1</x:f>
        <x:v>2</x:v>
      </x:c>
      <x:c r="Z125" s="12" t="str">
        <x:f>VLOOKUP(A125,'Dependencies'!$A$2:$G$224,7,FALSE)</x:f>
        <x:v>OK</x:v>
      </x:c>
      <x:c r="AA125" s="12" t="str">
        <x:f>IF(COUNTIFS('Milestones'!$A$2:$A$7,G125)&lt;&gt;1,"BAD GATE",IF(M125&lt;=VLOOKUP(G125,'Milestones'!$A$2:$C$7,3,FALSE),"OK","LATE"))</x:f>
        <x:v>OK</x:v>
      </x:c>
      <x:c r="AB125" s="12" t="n">
        <x:f>IF(OR(V125="Done",V125="Cut"),"",M125-TODAY())</x:f>
        <x:v>16</x:v>
      </x:c>
    </x:row>
    <x:row r="126" ht="90" customHeight="1">
      <x:c r="A126" s="7" t="str">
        <x:v>TEST-16</x:v>
      </x:c>
      <x:c r="B126" s="7" t="str">
        <x:v>Stress controller exceptions and endpoint overshoot handling</x:v>
      </x:c>
      <x:c r="C126" s="9" t="str">
        <x:v>Inject invalid state, behind-target error and loss of path; use isolated scenario at low speed.</x:v>
      </x:c>
      <x:c r="D126" s="9" t="str">
        <x:v>No seven-second command reuse; emergency stop is latched/logged; restart/goal behavior documented.</x:v>
      </x:c>
      <x:c r="E126" s="7" t="str">
        <x:v>Testing</x:v>
      </x:c>
      <x:c r="F126" s="7" t="str">
        <x:v>A</x:v>
      </x:c>
      <x:c r="G126" s="7" t="str">
        <x:v>G3</x:v>
      </x:c>
      <x:c r="H126" s="7" t="str">
        <x:v>P0 must</x:v>
      </x:c>
      <x:c r="I126" s="7" t="str">
        <x:v>Zhaolin</x:v>
      </x:c>
      <x:c r="J126" s="7" t="str">
        <x:f>IF(VLOOKUP(I126,'Team'!$A$2:$B$7,2,FALSE)="","",VLOOKUP(I126,'Team'!$A$2:$B$7,2,FALSE))</x:f>
      </x:c>
      <x:c r="K126" s="7" t="str">
        <x:v>Abdullah</x:v>
      </x:c>
      <x:c r="L126" s="10" t="n">
        <x:v>46319</x:v>
      </x:c>
      <x:c r="M126" s="10" t="n">
        <x:v>46319</x:v>
      </x:c>
      <x:c r="N126" s="11" t="n">
        <x:v>3</x:v>
      </x:c>
      <x:c r="O126" s="7" t="str">
        <x:v>TEST-06,BL-A-06</x:v>
      </x:c>
      <x:c r="P126" s="7" t="str">
        <x:v>G3-01, DOC-11</x:v>
      </x:c>
      <x:c r="Q126" s="7" t="str">
        <x:v>Y</x:v>
      </x:c>
      <x:c r="R126" s="7" t="str">
        <x:v>tests/carla/; src/autonomy/stack.py</x:v>
      </x:c>
      <x:c r="S126" s="7" t="str">
        <x:v>Controller fault evidence</x:v>
      </x:c>
      <x:c r="T126" s="7" t="str">
        <x:v>Evidence and limitations</x:v>
      </x:c>
      <x:c r="U126" s="7" t="str">
        <x:v>workstream:a;priority:p0;carla-required;category:testing</x:v>
      </x:c>
      <x:c r="V126" s="7" t="str">
        <x:v>Todo</x:v>
      </x:c>
      <x:c r="W126" s="7" t="str"/>
      <x:c r="X126" s="9" t="str">
        <x:v>Internal Sydney date. Estimate includes implementation, author checks and handoff; reviewer time is separately budgeted.</x:v>
      </x:c>
      <x:c r="Y126" s="12" t="n">
        <x:f>INT((M126-'Import Guide'!$B$3)/7)+1</x:f>
        <x:v>2</x:v>
      </x:c>
      <x:c r="Z126" s="12" t="str">
        <x:f>VLOOKUP(A126,'Dependencies'!$A$2:$G$224,7,FALSE)</x:f>
        <x:v>OK</x:v>
      </x:c>
      <x:c r="AA126" s="12" t="str">
        <x:f>IF(COUNTIFS('Milestones'!$A$2:$A$7,G126)&lt;&gt;1,"BAD GATE",IF(M126&lt;=VLOOKUP(G126,'Milestones'!$A$2:$C$7,3,FALSE),"OK","LATE"))</x:f>
        <x:v>OK</x:v>
      </x:c>
      <x:c r="AB126" s="12" t="n">
        <x:f>IF(OR(V126="Done",V126="Cut"),"",M126-TODAY())</x:f>
        <x:v>16</x:v>
      </x:c>
    </x:row>
    <x:row r="127" ht="90" customHeight="1">
      <x:c r="A127" s="7" t="str">
        <x:v>TEST-17</x:v>
      </x:c>
      <x:c r="B127" s="7" t="str">
        <x:v>Profile the full sensor rig and reduce unnecessary cadence</x:v>
      </x:c>
      <x:c r="C127" s="9" t="str">
        <x:v>Measure RGB-D, monitor, segmentation and optional LiDAR costs with warm models.</x:v>
      </x:c>
      <x:c r="D127" s="9" t="str">
        <x:v>Real-time factor and p95 E2E reported; optional workloads rate-limited without misusing stale masks.</x:v>
      </x:c>
      <x:c r="E127" s="7" t="str">
        <x:v>Testing</x:v>
      </x:c>
      <x:c r="F127" s="7" t="str">
        <x:v>B</x:v>
      </x:c>
      <x:c r="G127" s="7" t="str">
        <x:v>G3</x:v>
      </x:c>
      <x:c r="H127" s="7" t="str">
        <x:v>P0 must</x:v>
      </x:c>
      <x:c r="I127" s="7" t="str">
        <x:v>Mohammad</x:v>
      </x:c>
      <x:c r="J127" s="7" t="str">
        <x:f>IF(VLOOKUP(I127,'Team'!$A$2:$B$7,2,FALSE)="","",VLOOKUP(I127,'Team'!$A$2:$B$7,2,FALSE))</x:f>
        <x:v>kkaaman</x:v>
      </x:c>
      <x:c r="K127" s="7" t="str">
        <x:v>Alan</x:v>
      </x:c>
      <x:c r="L127" s="10" t="n">
        <x:v>46320</x:v>
      </x:c>
      <x:c r="M127" s="10" t="n">
        <x:v>46320</x:v>
      </x:c>
      <x:c r="N127" s="11" t="n">
        <x:v>2.5</x:v>
      </x:c>
      <x:c r="O127" s="7" t="str">
        <x:v>TEST-05,RV-08</x:v>
      </x:c>
      <x:c r="P127" s="7" t="str">
        <x:v>G3-01, TEST-22</x:v>
      </x:c>
      <x:c r="Q127" s="7" t="str">
        <x:v>Y</x:v>
      </x:c>
      <x:c r="R127" s="7" t="str">
        <x:v>scripts/benchmark_latency.py</x:v>
      </x:c>
      <x:c r="S127" s="7" t="str">
        <x:v>Sensor-cost and cadence plot</x:v>
      </x:c>
      <x:c r="T127" s="7" t="str">
        <x:v>Evidence and limitations</x:v>
      </x:c>
      <x:c r="U127" s="7" t="str">
        <x:v>workstream:b;priority:p0;carla-required;category:testing</x:v>
      </x:c>
      <x:c r="V127" s="7" t="str">
        <x:v>Todo</x:v>
      </x:c>
      <x:c r="W127" s="7" t="str"/>
      <x:c r="X127" s="9" t="str">
        <x:v>Internal Sydney date. Estimate includes implementation, author checks and handoff; reviewer time is separately budgeted.</x:v>
      </x:c>
      <x:c r="Y127" s="12" t="n">
        <x:f>INT((M127-'Import Guide'!$B$3)/7)+1</x:f>
        <x:v>2</x:v>
      </x:c>
      <x:c r="Z127" s="12" t="str">
        <x:f>VLOOKUP(A127,'Dependencies'!$A$2:$G$224,7,FALSE)</x:f>
        <x:v>OK</x:v>
      </x:c>
      <x:c r="AA127" s="12" t="str">
        <x:f>IF(COUNTIFS('Milestones'!$A$2:$A$7,G127)&lt;&gt;1,"BAD GATE",IF(M127&lt;=VLOOKUP(G127,'Milestones'!$A$2:$C$7,3,FALSE),"OK","LATE"))</x:f>
        <x:v>OK</x:v>
      </x:c>
      <x:c r="AB127" s="12" t="n">
        <x:f>IF(OR(V127="Done",V127="Cut"),"",M127-TODAY())</x:f>
        <x:v>17</x:v>
      </x:c>
    </x:row>
    <x:row r="128" ht="90" customHeight="1">
      <x:c r="A128" s="7" t="str">
        <x:v>DOC-11</x:v>
      </x:c>
      <x:c r="B128" s="7" t="str">
        <x:v>Write navigation calibration and parking design evidence</x:v>
      </x:c>
      <x:c r="C128" s="9" t="str">
        <x:v>Explain geometry repair, measured gain choices, forward-only API and separate reverse design.</x:v>
      </x:c>
      <x:c r="D128" s="9" t="str">
        <x:v>Design record includes alternatives, measured calibration and exact missing P2 evidence.</x:v>
      </x:c>
      <x:c r="E128" s="7" t="str">
        <x:v>Docs &amp; Report</x:v>
      </x:c>
      <x:c r="F128" s="7" t="str">
        <x:v>A</x:v>
      </x:c>
      <x:c r="G128" s="7" t="str">
        <x:v>G3</x:v>
      </x:c>
      <x:c r="H128" s="7" t="str">
        <x:v>P0 must</x:v>
      </x:c>
      <x:c r="I128" s="7" t="str">
        <x:v>Zhaolin</x:v>
      </x:c>
      <x:c r="J128" s="7" t="str">
        <x:f>IF(VLOOKUP(I128,'Team'!$A$2:$B$7,2,FALSE)="","",VLOOKUP(I128,'Team'!$A$2:$B$7,2,FALSE))</x:f>
      </x:c>
      <x:c r="K128" s="7" t="str">
        <x:v>Abdullah</x:v>
      </x:c>
      <x:c r="L128" s="10" t="n">
        <x:v>46320</x:v>
      </x:c>
      <x:c r="M128" s="10" t="n">
        <x:v>46320</x:v>
      </x:c>
      <x:c r="N128" s="11" t="n">
        <x:v>2</x:v>
      </x:c>
      <x:c r="O128" s="7" t="str">
        <x:v>TEST-16,RV-07</x:v>
      </x:c>
      <x:c r="P128" s="7" t="str"/>
      <x:c r="Q128" s="7" t="str">
        <x:v>N</x:v>
      </x:c>
      <x:c r="R128" s="7" t="str">
        <x:v>docs/navigation.md; docs/parking.md</x:v>
      </x:c>
      <x:c r="S128" s="7" t="str">
        <x:v>Control design and calibration note</x:v>
      </x:c>
      <x:c r="T128" s="7" t="str">
        <x:v>All four report sections</x:v>
      </x:c>
      <x:c r="U128" s="7" t="str">
        <x:v>workstream:a;priority:p0;category:docs-report</x:v>
      </x:c>
      <x:c r="V128" s="7" t="str">
        <x:v>Todo</x:v>
      </x:c>
      <x:c r="W128" s="7" t="str"/>
      <x:c r="X128" s="9" t="str">
        <x:v>Internal Sydney date. Estimate includes implementation, author checks and handoff; reviewer time is separately budgeted.</x:v>
      </x:c>
      <x:c r="Y128" s="12" t="n">
        <x:f>INT((M128-'Import Guide'!$B$3)/7)+1</x:f>
        <x:v>2</x:v>
      </x:c>
      <x:c r="Z128" s="12" t="str">
        <x:f>VLOOKUP(A128,'Dependencies'!$A$2:$G$224,7,FALSE)</x:f>
        <x:v>OK</x:v>
      </x:c>
      <x:c r="AA128" s="12" t="str">
        <x:f>IF(COUNTIFS('Milestones'!$A$2:$A$7,G128)&lt;&gt;1,"BAD GATE",IF(M128&lt;=VLOOKUP(G128,'Milestones'!$A$2:$C$7,3,FALSE),"OK","LATE"))</x:f>
        <x:v>OK</x:v>
      </x:c>
      <x:c r="AB128" s="12" t="n">
        <x:f>IF(OR(V128="Done",V128="Cut"),"",M128-TODAY())</x:f>
        <x:v>17</x:v>
      </x:c>
    </x:row>
    <x:row r="129" ht="90" customHeight="1">
      <x:c r="A129" s="7" t="str">
        <x:v>TEST-18</x:v>
      </x:c>
      <x:c r="B129" s="7" t="str">
        <x:v>Run offline all-flags fault suite and export diagnostics</x:v>
      </x:c>
      <x:c r="C129" s="9" t="str">
        <x:v>Combine fake sensor sources, remote delays and behavior modes in CARLA-free CI.</x:v>
      </x:c>
      <x:c r="D129" s="9" t="str">
        <x:v>All enabled combinations stop safely on faults; logs identify source, session, frame and decision reason.</x:v>
      </x:c>
      <x:c r="E129" s="7" t="str">
        <x:v>Testing</x:v>
      </x:c>
      <x:c r="F129" s="7" t="str">
        <x:v>F</x:v>
      </x:c>
      <x:c r="G129" s="7" t="str">
        <x:v>G4</x:v>
      </x:c>
      <x:c r="H129" s="7" t="str">
        <x:v>P0 must</x:v>
      </x:c>
      <x:c r="I129" s="7" t="str">
        <x:v>Saviour</x:v>
      </x:c>
      <x:c r="J129" s="7" t="str">
        <x:f>IF(VLOOKUP(I129,'Team'!$A$2:$B$7,2,FALSE)="","",VLOOKUP(I129,'Team'!$A$2:$B$7,2,FALSE))</x:f>
      </x:c>
      <x:c r="K129" s="7" t="str">
        <x:v>Ricky</x:v>
      </x:c>
      <x:c r="L129" s="10" t="n">
        <x:v>46323</x:v>
      </x:c>
      <x:c r="M129" s="10" t="n">
        <x:v>46323</x:v>
      </x:c>
      <x:c r="N129" s="11" t="n">
        <x:v>3</x:v>
      </x:c>
      <x:c r="O129" s="7" t="str">
        <x:v>G3-01,E4-10</x:v>
      </x:c>
      <x:c r="P129" s="7" t="str">
        <x:v>DOC-12</x:v>
      </x:c>
      <x:c r="Q129" s="7" t="str">
        <x:v>N</x:v>
      </x:c>
      <x:c r="R129" s="7" t="str">
        <x:v>tests/integration/; .github/workflows/ci.yml</x:v>
      </x:c>
      <x:c r="S129" s="7" t="str">
        <x:v>All-flags harness report</x:v>
      </x:c>
      <x:c r="T129" s="7" t="str">
        <x:v>Evidence and limitations</x:v>
      </x:c>
      <x:c r="U129" s="7" t="str">
        <x:v>workstream:f;priority:p0;category:testing</x:v>
      </x:c>
      <x:c r="V129" s="7" t="str">
        <x:v>Todo</x:v>
      </x:c>
      <x:c r="W129" s="7" t="str"/>
      <x:c r="X129" s="9" t="str">
        <x:v>Internal Sydney date. Estimate includes implementation, author checks and handoff; reviewer time is separately budgeted.</x:v>
      </x:c>
      <x:c r="Y129" s="12" t="n">
        <x:f>INT((M129-'Import Guide'!$B$3)/7)+1</x:f>
        <x:v>3</x:v>
      </x:c>
      <x:c r="Z129" s="12" t="str">
        <x:f>VLOOKUP(A129,'Dependencies'!$A$2:$G$224,7,FALSE)</x:f>
        <x:v>OK</x:v>
      </x:c>
      <x:c r="AA129" s="12" t="str">
        <x:f>IF(COUNTIFS('Milestones'!$A$2:$A$7,G129)&lt;&gt;1,"BAD GATE",IF(M129&lt;=VLOOKUP(G129,'Milestones'!$A$2:$C$7,3,FALSE),"OK","LATE"))</x:f>
        <x:v>OK</x:v>
      </x:c>
      <x:c r="AB129" s="12" t="n">
        <x:f>IF(OR(V129="Done",V129="Cut"),"",M129-TODAY())</x:f>
        <x:v>20</x:v>
      </x:c>
    </x:row>
    <x:row r="130" ht="90" customHeight="1">
      <x:c r="A130" s="7" t="str">
        <x:v>DOC-12</x:v>
      </x:c>
      <x:c r="B130" s="7" t="str">
        <x:v>Audit evidence files, hashes and missing-result labels</x:v>
      </x:c>
      <x:c r="C130" s="9" t="str">
        <x:v>Check links from report/workbook to all run summaries; ensure screenshots and plots are on final release hash.</x:v>
      </x:c>
      <x:c r="D130" s="9" t="str">
        <x:v>Every claimed experiment has raw evidence; missing cloud or cut feature is NOT RUN, never zero/pass.</x:v>
      </x:c>
      <x:c r="E130" s="7" t="str">
        <x:v>Docs &amp; Report</x:v>
      </x:c>
      <x:c r="F130" s="7" t="str">
        <x:v>F</x:v>
      </x:c>
      <x:c r="G130" s="7" t="str">
        <x:v>G5</x:v>
      </x:c>
      <x:c r="H130" s="7" t="str">
        <x:v>P0 must</x:v>
      </x:c>
      <x:c r="I130" s="7" t="str">
        <x:v>Saviour</x:v>
      </x:c>
      <x:c r="J130" s="7" t="str">
        <x:f>IF(VLOOKUP(I130,'Team'!$A$2:$B$7,2,FALSE)="","",VLOOKUP(I130,'Team'!$A$2:$B$7,2,FALSE))</x:f>
      </x:c>
      <x:c r="K130" s="7" t="str">
        <x:v>Ricky</x:v>
      </x:c>
      <x:c r="L130" s="10" t="n">
        <x:v>46324</x:v>
      </x:c>
      <x:c r="M130" s="10" t="n">
        <x:v>46324</x:v>
      </x:c>
      <x:c r="N130" s="11" t="n">
        <x:v>3</x:v>
      </x:c>
      <x:c r="O130" s="7" t="str">
        <x:v>DOC-06,TEST-18</x:v>
      </x:c>
      <x:c r="P130" s="7" t="str">
        <x:v>TEST-19</x:v>
      </x:c>
      <x:c r="Q130" s="7" t="str">
        <x:v>N</x:v>
      </x:c>
      <x:c r="R130" s="7" t="str">
        <x:v>docs/evidence-index.md; docs/results/</x:v>
      </x:c>
      <x:c r="S130" s="7" t="str">
        <x:v>Evidence completeness audit</x:v>
      </x:c>
      <x:c r="T130" s="7" t="str">
        <x:v>All four report sections</x:v>
      </x:c>
      <x:c r="U130" s="7" t="str">
        <x:v>workstream:f;priority:p0;category:docs-report</x:v>
      </x:c>
      <x:c r="V130" s="7" t="str">
        <x:v>Todo</x:v>
      </x:c>
      <x:c r="W130" s="7" t="str"/>
      <x:c r="X130" s="9" t="str">
        <x:v>Internal Sydney date. Estimate includes implementation, author checks and handoff; reviewer time is separately budgeted.</x:v>
      </x:c>
      <x:c r="Y130" s="12" t="n">
        <x:f>INT((M130-'Import Guide'!$B$3)/7)+1</x:f>
        <x:v>3</x:v>
      </x:c>
      <x:c r="Z130" s="12" t="str">
        <x:f>VLOOKUP(A130,'Dependencies'!$A$2:$G$224,7,FALSE)</x:f>
        <x:v>OK</x:v>
      </x:c>
      <x:c r="AA130" s="12" t="str">
        <x:f>IF(COUNTIFS('Milestones'!$A$2:$A$7,G130)&lt;&gt;1,"BAD GATE",IF(M130&lt;=VLOOKUP(G130,'Milestones'!$A$2:$C$7,3,FALSE),"OK","LATE"))</x:f>
        <x:v>OK</x:v>
      </x:c>
      <x:c r="AB130" s="12" t="n">
        <x:f>IF(OR(V130="Done",V130="Cut"),"",M130-TODAY())</x:f>
        <x:v>21</x:v>
      </x:c>
    </x:row>
    <x:row r="131" ht="90" customHeight="1">
      <x:c r="A131" s="7" t="str">
        <x:v>DOC-13</x:v>
      </x:c>
      <x:c r="B131" s="7" t="str">
        <x:v>Document Wayfinder and lane-monitor architecture</x:v>
      </x:c>
      <x:c r="C131" s="9" t="str">
        <x:v>Record graph assumptions, route/corridor consistency, mini-map and image-monitor limitations.</x:v>
      </x:c>
      <x:c r="D131" s="9" t="str">
        <x:v>Core explanation and architecture figure trace to actual files; no claimed lane-changing in v1.</x:v>
      </x:c>
      <x:c r="E131" s="7" t="str">
        <x:v>Docs &amp; Report</x:v>
      </x:c>
      <x:c r="F131" s="7" t="str">
        <x:v>E</x:v>
      </x:c>
      <x:c r="G131" s="7" t="str">
        <x:v>G5</x:v>
      </x:c>
      <x:c r="H131" s="7" t="str">
        <x:v>P0 must</x:v>
      </x:c>
      <x:c r="I131" s="7" t="str">
        <x:v>Abdullah</x:v>
      </x:c>
      <x:c r="J131" s="7" t="str">
        <x:f>IF(VLOOKUP(I131,'Team'!$A$2:$B$7,2,FALSE)="","",VLOOKUP(I131,'Team'!$A$2:$B$7,2,FALSE))</x:f>
      </x:c>
      <x:c r="K131" s="7" t="str">
        <x:v>Zhaolin</x:v>
      </x:c>
      <x:c r="L131" s="10" t="n">
        <x:v>46324</x:v>
      </x:c>
      <x:c r="M131" s="10" t="n">
        <x:v>46324</x:v>
      </x:c>
      <x:c r="N131" s="11" t="n">
        <x:v>2</x:v>
      </x:c>
      <x:c r="O131" s="7" t="str">
        <x:v>G4-01,E3-04</x:v>
      </x:c>
      <x:c r="P131" s="7" t="str"/>
      <x:c r="Q131" s="7" t="str">
        <x:v>N</x:v>
      </x:c>
      <x:c r="R131" s="7" t="str">
        <x:v>docs/wayfinder.md; docs/lane-monitor.md</x:v>
      </x:c>
      <x:c r="S131" s="7" t="str">
        <x:v>Wayfinder/module documentation</x:v>
      </x:c>
      <x:c r="T131" s="7" t="str">
        <x:v>All four report sections</x:v>
      </x:c>
      <x:c r="U131" s="7" t="str">
        <x:v>workstream:e;priority:p0;category:docs-report</x:v>
      </x:c>
      <x:c r="V131" s="7" t="str">
        <x:v>Todo</x:v>
      </x:c>
      <x:c r="W131" s="7" t="str"/>
      <x:c r="X131" s="9" t="str">
        <x:v>Internal Sydney date. Estimate includes implementation, author checks and handoff; reviewer time is separately budgeted.</x:v>
      </x:c>
      <x:c r="Y131" s="12" t="n">
        <x:f>INT((M131-'Import Guide'!$B$3)/7)+1</x:f>
        <x:v>3</x:v>
      </x:c>
      <x:c r="Z131" s="12" t="str">
        <x:f>VLOOKUP(A131,'Dependencies'!$A$2:$G$224,7,FALSE)</x:f>
        <x:v>OK</x:v>
      </x:c>
      <x:c r="AA131" s="12" t="str">
        <x:f>IF(COUNTIFS('Milestones'!$A$2:$A$7,G131)&lt;&gt;1,"BAD GATE",IF(M131&lt;=VLOOKUP(G131,'Milestones'!$A$2:$C$7,3,FALSE),"OK","LATE"))</x:f>
        <x:v>OK</x:v>
      </x:c>
      <x:c r="AB131" s="12" t="n">
        <x:f>IF(OR(V131="Done",V131="Cut"),"",M131-TODAY())</x:f>
        <x:v>21</x:v>
      </x:c>
    </x:row>
    <x:row r="132" ht="90" customHeight="1">
      <x:c r="A132" s="7" t="str">
        <x:v>DOC-14</x:v>
      </x:c>
      <x:c r="B132" s="7" t="str">
        <x:v>Document LiDAR and segmentation results with limitations</x:v>
      </x:c>
      <x:c r="C132" s="9" t="str">
        <x:v>Explain point-frame transform, ground filter, clustering and why optional masking was kept or cut.</x:v>
      </x:c>
      <x:c r="D132" s="9" t="str">
        <x:v>Distance/latency ablations linked; weather-specific depth/LiDAR behavior presented as measured/model-specific.</x:v>
      </x:c>
      <x:c r="E132" s="7" t="str">
        <x:v>Docs &amp; Report</x:v>
      </x:c>
      <x:c r="F132" s="7" t="str">
        <x:v>B</x:v>
      </x:c>
      <x:c r="G132" s="7" t="str">
        <x:v>G5</x:v>
      </x:c>
      <x:c r="H132" s="7" t="str">
        <x:v>P0 must</x:v>
      </x:c>
      <x:c r="I132" s="7" t="str">
        <x:v>Mohammad</x:v>
      </x:c>
      <x:c r="J132" s="7" t="str">
        <x:f>IF(VLOOKUP(I132,'Team'!$A$2:$B$7,2,FALSE)="","",VLOOKUP(I132,'Team'!$A$2:$B$7,2,FALSE))</x:f>
        <x:v>kkaaman</x:v>
      </x:c>
      <x:c r="K132" s="7" t="str">
        <x:v>Alan</x:v>
      </x:c>
      <x:c r="L132" s="10" t="n">
        <x:v>46324</x:v>
      </x:c>
      <x:c r="M132" s="10" t="n">
        <x:v>46324</x:v>
      </x:c>
      <x:c r="N132" s="11" t="n">
        <x:v>2</x:v>
      </x:c>
      <x:c r="O132" s="7" t="str">
        <x:v>G4-01,E2-05</x:v>
      </x:c>
      <x:c r="P132" s="7" t="str"/>
      <x:c r="Q132" s="7" t="str">
        <x:v>N</x:v>
      </x:c>
      <x:c r="R132" s="7" t="str">
        <x:v>docs/lidar.md; docs/segmentation.md</x:v>
      </x:c>
      <x:c r="S132" s="7" t="str">
        <x:v>LiDAR design and limitations note</x:v>
      </x:c>
      <x:c r="T132" s="7" t="str">
        <x:v>All four report sections</x:v>
      </x:c>
      <x:c r="U132" s="7" t="str">
        <x:v>workstream:b;priority:p0;category:docs-report</x:v>
      </x:c>
      <x:c r="V132" s="7" t="str">
        <x:v>Todo</x:v>
      </x:c>
      <x:c r="W132" s="7" t="str"/>
      <x:c r="X132" s="9" t="str">
        <x:v>Internal Sydney date. Estimate includes implementation, author checks and handoff; reviewer time is separately budgeted.</x:v>
      </x:c>
      <x:c r="Y132" s="12" t="n">
        <x:f>INT((M132-'Import Guide'!$B$3)/7)+1</x:f>
        <x:v>3</x:v>
      </x:c>
      <x:c r="Z132" s="12" t="str">
        <x:f>VLOOKUP(A132,'Dependencies'!$A$2:$G$224,7,FALSE)</x:f>
        <x:v>OK</x:v>
      </x:c>
      <x:c r="AA132" s="12" t="str">
        <x:f>IF(COUNTIFS('Milestones'!$A$2:$A$7,G132)&lt;&gt;1,"BAD GATE",IF(M132&lt;=VLOOKUP(G132,'Milestones'!$A$2:$C$7,3,FALSE),"OK","LATE"))</x:f>
        <x:v>OK</x:v>
      </x:c>
      <x:c r="AB132" s="12" t="n">
        <x:f>IF(OR(V132="Done",V132="Cut"),"",M132-TODAY())</x:f>
        <x:v>21</x:v>
      </x:c>
    </x:row>
    <x:row r="133" ht="90" customHeight="1">
      <x:c r="A133" s="7" t="str">
        <x:v>TEST-19</x:v>
      </x:c>
      <x:c r="B133" s="7" t="str">
        <x:v>Verify release offline startup and importer handoff</x:v>
      </x:c>
      <x:c r="C133" s="9" t="str">
        <x:v>Audit no hidden downloads/secrets and retryable task import on local fixtures; synchronize final issue map by Task ID.</x:v>
      </x:c>
      <x:c r="D133" s="9" t="str">
        <x:v>Offline harness starts; code/doc gate outputs saved; CSV round-trip retains dependencies and issue IDs.</x:v>
      </x:c>
      <x:c r="E133" s="7" t="str">
        <x:v>Testing</x:v>
      </x:c>
      <x:c r="F133" s="7" t="str">
        <x:v>F</x:v>
      </x:c>
      <x:c r="G133" s="7" t="str">
        <x:v>G5</x:v>
      </x:c>
      <x:c r="H133" s="7" t="str">
        <x:v>P0 must</x:v>
      </x:c>
      <x:c r="I133" s="7" t="str">
        <x:v>Saviour</x:v>
      </x:c>
      <x:c r="J133" s="7" t="str">
        <x:f>IF(VLOOKUP(I133,'Team'!$A$2:$B$7,2,FALSE)="","",VLOOKUP(I133,'Team'!$A$2:$B$7,2,FALSE))</x:f>
      </x:c>
      <x:c r="K133" s="7" t="str">
        <x:v>Ricky</x:v>
      </x:c>
      <x:c r="L133" s="10" t="n">
        <x:v>46325</x:v>
      </x:c>
      <x:c r="M133" s="10" t="n">
        <x:v>46325</x:v>
      </x:c>
      <x:c r="N133" s="11" t="n">
        <x:v>2</x:v>
      </x:c>
      <x:c r="O133" s="7" t="str">
        <x:v>DOC-08,DOC-12</x:v>
      </x:c>
      <x:c r="P133" s="7" t="str"/>
      <x:c r="Q133" s="7" t="str">
        <x:v>N</x:v>
      </x:c>
      <x:c r="R133" s="7" t="str">
        <x:v>README.md; scripts/github/</x:v>
      </x:c>
      <x:c r="S133" s="7" t="str">
        <x:v>Release verification log</x:v>
      </x:c>
      <x:c r="T133" s="7" t="str">
        <x:v>Evidence and limitations</x:v>
      </x:c>
      <x:c r="U133" s="7" t="str">
        <x:v>workstream:f;priority:p0;category:testing</x:v>
      </x:c>
      <x:c r="V133" s="7" t="str">
        <x:v>Todo</x:v>
      </x:c>
      <x:c r="W133" s="7" t="str"/>
      <x:c r="X133" s="9" t="str">
        <x:v>Internal Sydney date. Estimate includes implementation, author checks and handoff; reviewer time is separately budgeted.</x:v>
      </x:c>
      <x:c r="Y133" s="12" t="n">
        <x:f>INT((M133-'Import Guide'!$B$3)/7)+1</x:f>
        <x:v>3</x:v>
      </x:c>
      <x:c r="Z133" s="12" t="str">
        <x:f>VLOOKUP(A133,'Dependencies'!$A$2:$G$224,7,FALSE)</x:f>
        <x:v>OK</x:v>
      </x:c>
      <x:c r="AA133" s="12" t="str">
        <x:f>IF(COUNTIFS('Milestones'!$A$2:$A$7,G133)&lt;&gt;1,"BAD GATE",IF(M133&lt;=VLOOKUP(G133,'Milestones'!$A$2:$C$7,3,FALSE),"OK","LATE"))</x:f>
        <x:v>OK</x:v>
      </x:c>
      <x:c r="AB133" s="12" t="n">
        <x:f>IF(OR(V133="Done",V133="Cut"),"",M133-TODAY())</x:f>
        <x:v>22</x:v>
      </x:c>
    </x:row>
    <x:row r="134" ht="90" customHeight="1">
      <x:c r="A134" s="7" t="str">
        <x:v>TEST-20</x:v>
      </x:c>
      <x:c r="B134" s="7" t="str">
        <x:v>Verify release sensors and held-green mission constraints</x:v>
      </x:c>
      <x:c r="C134" s="9" t="str">
        <x:v>Run final config on primary or backup laptop; verify weather lights, scenario cleanup and route spawn.</x:v>
      </x:c>
      <x:c r="D134" s="9" t="str">
        <x:v>Release smoke passes; limits visible in HUD/runbook; no late untested config change.</x:v>
      </x:c>
      <x:c r="E134" s="7" t="str">
        <x:v>Testing</x:v>
      </x:c>
      <x:c r="F134" s="7" t="str">
        <x:v>D</x:v>
      </x:c>
      <x:c r="G134" s="7" t="str">
        <x:v>G4</x:v>
      </x:c>
      <x:c r="H134" s="7" t="str">
        <x:v>P0 must</x:v>
      </x:c>
      <x:c r="I134" s="7" t="str">
        <x:v>Alan</x:v>
      </x:c>
      <x:c r="J134" s="7" t="str">
        <x:f>IF(VLOOKUP(I134,'Team'!$A$2:$B$7,2,FALSE)="","",VLOOKUP(I134,'Team'!$A$2:$B$7,2,FALSE))</x:f>
      </x:c>
      <x:c r="K134" s="7" t="str">
        <x:v>Mohammad</x:v>
      </x:c>
      <x:c r="L134" s="10" t="n">
        <x:v>46323</x:v>
      </x:c>
      <x:c r="M134" s="10" t="n">
        <x:v>46323</x:v>
      </x:c>
      <x:c r="N134" s="11" t="n">
        <x:v>2</x:v>
      </x:c>
      <x:c r="O134" s="7" t="str">
        <x:v>G4-01</x:v>
      </x:c>
      <x:c r="P134" s="7" t="str"/>
      <x:c r="Q134" s="7" t="str">
        <x:v>Y</x:v>
      </x:c>
      <x:c r="R134" s="7" t="str">
        <x:v>configs/release.yaml; docs/demo-runbook.md</x:v>
      </x:c>
      <x:c r="S134" s="7" t="str">
        <x:v>Release smoke log</x:v>
      </x:c>
      <x:c r="T134" s="7" t="str">
        <x:v>Evidence and limitations</x:v>
      </x:c>
      <x:c r="U134" s="7" t="str">
        <x:v>workstream:d;priority:p0;carla-required;category:testing</x:v>
      </x:c>
      <x:c r="V134" s="7" t="str">
        <x:v>Todo</x:v>
      </x:c>
      <x:c r="W134" s="7" t="str"/>
      <x:c r="X134" s="9" t="str">
        <x:v>Internal Sydney date. Estimate includes implementation, author checks and handoff; reviewer time is separately budgeted. Same-day handoff: complete/review G4-01 before starting this task.</x:v>
      </x:c>
      <x:c r="Y134" s="12" t="n">
        <x:f>INT((M134-'Import Guide'!$B$3)/7)+1</x:f>
        <x:v>3</x:v>
      </x:c>
      <x:c r="Z134" s="12" t="str">
        <x:f>VLOOKUP(A134,'Dependencies'!$A$2:$G$224,7,FALSE)</x:f>
        <x:v>OK</x:v>
      </x:c>
      <x:c r="AA134" s="12" t="str">
        <x:f>IF(COUNTIFS('Milestones'!$A$2:$A$7,G134)&lt;&gt;1,"BAD GATE",IF(M134&lt;=VLOOKUP(G134,'Milestones'!$A$2:$C$7,3,FALSE),"OK","LATE"))</x:f>
        <x:v>OK</x:v>
      </x:c>
      <x:c r="AB134" s="12" t="n">
        <x:f>IF(OR(V134="Done",V134="Cut"),"",M134-TODAY())</x:f>
        <x:v>20</x:v>
      </x:c>
    </x:row>
    <x:row r="135" ht="90" customHeight="1">
      <x:c r="A135" s="7" t="str">
        <x:v>E5-09</x:v>
      </x:c>
      <x:c r="B135" s="7" t="str">
        <x:v>Run P2-enabled baseline regression before any admission</x:v>
      </x:c>
      <x:c r="C135" s="9" t="str">
        <x:v>Only if reverse trials passed; run all 30 baseline trials with reverse flag enabled but DRIVE active.</x:v>
      </x:c>
      <x:c r="D135" s="9" t="str">
        <x:v>P2 admission requires baseline pass and separate parking tolerances; otherwise keep flag off and log cut.</x:v>
      </x:c>
      <x:c r="E135" s="7" t="str">
        <x:v>Extension</x:v>
      </x:c>
      <x:c r="F135" s="7" t="str">
        <x:v>E5</x:v>
      </x:c>
      <x:c r="G135" s="7" t="str">
        <x:v>G4</x:v>
      </x:c>
      <x:c r="H135" s="7" t="str">
        <x:v>P2 could</x:v>
      </x:c>
      <x:c r="I135" s="7" t="str">
        <x:v>Zhaolin</x:v>
      </x:c>
      <x:c r="J135" s="7" t="str">
        <x:f>IF(VLOOKUP(I135,'Team'!$A$2:$B$7,2,FALSE)="","",VLOOKUP(I135,'Team'!$A$2:$B$7,2,FALSE))</x:f>
      </x:c>
      <x:c r="K135" s="7" t="str">
        <x:v>Abdullah</x:v>
      </x:c>
      <x:c r="L135" s="10" t="n">
        <x:v>46323</x:v>
      </x:c>
      <x:c r="M135" s="10" t="n">
        <x:v>46323</x:v>
      </x:c>
      <x:c r="N135" s="11" t="n">
        <x:v>2</x:v>
      </x:c>
      <x:c r="O135" s="7" t="str">
        <x:v>E5-08</x:v>
      </x:c>
      <x:c r="P135" s="7" t="str"/>
      <x:c r="Q135" s="7" t="str">
        <x:v>Y</x:v>
      </x:c>
      <x:c r="R135" s="7" t="str">
        <x:v>scripts/run_acceptance_suite.py</x:v>
      </x:c>
      <x:c r="S135" s="7" t="str">
        <x:v>P2 admission report or cut</x:v>
      </x:c>
      <x:c r="T135" s="7" t="str">
        <x:v>Extension and design decisions</x:v>
      </x:c>
      <x:c r="U135" s="7" t="str">
        <x:v>extension:e5;priority:p2;carla-required;category:extension</x:v>
      </x:c>
      <x:c r="V135" s="7" t="str">
        <x:v>Todo</x:v>
      </x:c>
      <x:c r="W135" s="7" t="str"/>
      <x:c r="X135" s="9" t="str">
        <x:v>Internal Sydney date. Estimate includes implementation, author checks and handoff; reviewer time is separately budgeted. Conditional only; start if baseline is on track. First work to cut.</x:v>
      </x:c>
      <x:c r="Y135" s="12" t="n">
        <x:f>INT((M135-'Import Guide'!$B$3)/7)+1</x:f>
        <x:v>3</x:v>
      </x:c>
      <x:c r="Z135" s="12" t="str">
        <x:f>VLOOKUP(A135,'Dependencies'!$A$2:$G$224,7,FALSE)</x:f>
        <x:v>OK</x:v>
      </x:c>
      <x:c r="AA135" s="12" t="str">
        <x:f>IF(COUNTIFS('Milestones'!$A$2:$A$7,G135)&lt;&gt;1,"BAD GATE",IF(M135&lt;=VLOOKUP(G135,'Milestones'!$A$2:$C$7,3,FALSE),"OK","LATE"))</x:f>
        <x:v>OK</x:v>
      </x:c>
      <x:c r="AB135" s="12" t="n">
        <x:f>IF(OR(V135="Done",V135="Cut"),"",M135-TODAY())</x:f>
        <x:v>20</x:v>
      </x:c>
    </x:row>
    <x:row r="136" ht="90" customHeight="1">
      <x:c r="A136" s="7" t="str">
        <x:v>DOC-15</x:v>
      </x:c>
      <x:c r="B136" s="7" t="str">
        <x:v>Document cloud sessions, failover limits and measured costs</x:v>
      </x:c>
      <x:c r="C136" s="9" t="str">
        <x:v>Explain readiness of local/LAN/cloud modes, deadlines, local compute duplication and clock domains.</x:v>
      </x:c>
      <x:c r="D136" s="9" t="str">
        <x:v>Generated docs and report agree on what ran; no latency-speedup or upload/download precision overclaim.</x:v>
      </x:c>
      <x:c r="E136" s="7" t="str">
        <x:v>Docs &amp; Report</x:v>
      </x:c>
      <x:c r="F136" s="7" t="str">
        <x:v>C</x:v>
      </x:c>
      <x:c r="G136" s="7" t="str">
        <x:v>G5</x:v>
      </x:c>
      <x:c r="H136" s="7" t="str">
        <x:v>P0 must</x:v>
      </x:c>
      <x:c r="I136" s="7" t="str">
        <x:v>Ricky</x:v>
      </x:c>
      <x:c r="J136" s="7" t="str">
        <x:f>IF(VLOOKUP(I136,'Team'!$A$2:$B$7,2,FALSE)="","",VLOOKUP(I136,'Team'!$A$2:$B$7,2,FALSE))</x:f>
      </x:c>
      <x:c r="K136" s="7" t="str">
        <x:v>Saviour</x:v>
      </x:c>
      <x:c r="L136" s="10" t="n">
        <x:v>46325</x:v>
      </x:c>
      <x:c r="M136" s="10" t="n">
        <x:v>46325</x:v>
      </x:c>
      <x:c r="N136" s="11" t="n">
        <x:v>2</x:v>
      </x:c>
      <x:c r="O136" s="7" t="str">
        <x:v>DOC-09</x:v>
      </x:c>
      <x:c r="P136" s="7" t="str"/>
      <x:c r="Q136" s="7" t="str">
        <x:v>N</x:v>
      </x:c>
      <x:c r="R136" s="7" t="str">
        <x:v>docs/cloud.md; docs/latency.md</x:v>
      </x:c>
      <x:c r="S136" s="7" t="str">
        <x:v>Cloud results and interface guide</x:v>
      </x:c>
      <x:c r="T136" s="7" t="str">
        <x:v>All four report sections</x:v>
      </x:c>
      <x:c r="U136" s="7" t="str">
        <x:v>workstream:c;priority:p0;category:docs-report</x:v>
      </x:c>
      <x:c r="V136" s="7" t="str">
        <x:v>Todo</x:v>
      </x:c>
      <x:c r="W136" s="7" t="str"/>
      <x:c r="X136" s="9" t="str">
        <x:v>Internal Sydney date. Estimate includes implementation, author checks and handoff; reviewer time is separately budgeted. Same-day handoff: complete/review DOC-09 before starting this task.</x:v>
      </x:c>
      <x:c r="Y136" s="12" t="n">
        <x:f>INT((M136-'Import Guide'!$B$3)/7)+1</x:f>
        <x:v>3</x:v>
      </x:c>
      <x:c r="Z136" s="12" t="str">
        <x:f>VLOOKUP(A136,'Dependencies'!$A$2:$G$224,7,FALSE)</x:f>
        <x:v>OK</x:v>
      </x:c>
      <x:c r="AA136" s="12" t="str">
        <x:f>IF(COUNTIFS('Milestones'!$A$2:$A$7,G136)&lt;&gt;1,"BAD GATE",IF(M136&lt;=VLOOKUP(G136,'Milestones'!$A$2:$C$7,3,FALSE),"OK","LATE"))</x:f>
        <x:v>OK</x:v>
      </x:c>
      <x:c r="AB136" s="12" t="n">
        <x:f>IF(OR(V136="Done",V136="Cut"),"",M136-TODAY())</x:f>
        <x:v>22</x:v>
      </x:c>
    </x:row>
    <x:row r="137" ht="90" customHeight="1">
      <x:c r="A137" s="7" t="str">
        <x:v>TEST-21</x:v>
      </x:c>
      <x:c r="B137" s="7" t="str">
        <x:v>Validate video fallback and demo laptop cold start</x:v>
      </x:c>
      <x:c r="C137" s="9" t="str">
        <x:v>Restart laptop/server using runbook, unplug external network and load local assets.</x:v>
      </x:c>
      <x:c r="D137" s="9" t="str">
        <x:v>Cold start reaches ready state; keyboard stop works; backup video and all displays readable.</x:v>
      </x:c>
      <x:c r="E137" s="7" t="str">
        <x:v>Testing</x:v>
      </x:c>
      <x:c r="F137" s="7" t="str">
        <x:v>E</x:v>
      </x:c>
      <x:c r="G137" s="7" t="str">
        <x:v>G5</x:v>
      </x:c>
      <x:c r="H137" s="7" t="str">
        <x:v>P0 must</x:v>
      </x:c>
      <x:c r="I137" s="7" t="str">
        <x:v>Abdullah</x:v>
      </x:c>
      <x:c r="J137" s="7" t="str">
        <x:f>IF(VLOOKUP(I137,'Team'!$A$2:$B$7,2,FALSE)="","",VLOOKUP(I137,'Team'!$A$2:$B$7,2,FALSE))</x:f>
      </x:c>
      <x:c r="K137" s="7" t="str">
        <x:v>Zhaolin</x:v>
      </x:c>
      <x:c r="L137" s="10" t="n">
        <x:v>46325</x:v>
      </x:c>
      <x:c r="M137" s="10" t="n">
        <x:v>46325</x:v>
      </x:c>
      <x:c r="N137" s="11" t="n">
        <x:v>2</x:v>
      </x:c>
      <x:c r="O137" s="7" t="str">
        <x:v>DEMO-02,G4-01</x:v>
      </x:c>
      <x:c r="P137" s="7" t="str"/>
      <x:c r="Q137" s="7" t="str">
        <x:v>Y</x:v>
      </x:c>
      <x:c r="R137" s="7" t="str">
        <x:v>docs/demo-runbook.md</x:v>
      </x:c>
      <x:c r="S137" s="7" t="str">
        <x:v>Cold-start checklist</x:v>
      </x:c>
      <x:c r="T137" s="7" t="str">
        <x:v>Evidence and limitations</x:v>
      </x:c>
      <x:c r="U137" s="7" t="str">
        <x:v>workstream:e;priority:p0;carla-required;category:testing</x:v>
      </x:c>
      <x:c r="V137" s="7" t="str">
        <x:v>Todo</x:v>
      </x:c>
      <x:c r="W137" s="7" t="str"/>
      <x:c r="X137" s="9" t="str">
        <x:v>Internal Sydney date. Estimate includes implementation, author checks and handoff; reviewer time is separately budgeted.</x:v>
      </x:c>
      <x:c r="Y137" s="12" t="n">
        <x:f>INT((M137-'Import Guide'!$B$3)/7)+1</x:f>
        <x:v>3</x:v>
      </x:c>
      <x:c r="Z137" s="12" t="str">
        <x:f>VLOOKUP(A137,'Dependencies'!$A$2:$G$224,7,FALSE)</x:f>
        <x:v>OK</x:v>
      </x:c>
      <x:c r="AA137" s="12" t="str">
        <x:f>IF(COUNTIFS('Milestones'!$A$2:$A$7,G137)&lt;&gt;1,"BAD GATE",IF(M137&lt;=VLOOKUP(G137,'Milestones'!$A$2:$C$7,3,FALSE),"OK","LATE"))</x:f>
        <x:v>OK</x:v>
      </x:c>
      <x:c r="AB137" s="12" t="n">
        <x:f>IF(OR(V137="Done",V137="Cut"),"",M137-TODAY())</x:f>
        <x:v>22</x:v>
      </x:c>
    </x:row>
    <x:row r="138" ht="90" customHeight="1">
      <x:c r="A138" s="7" t="str">
        <x:v>DOC-16</x:v>
      </x:c>
      <x:c r="B138" s="7" t="str">
        <x:v>Package parking evidence and explain cut reverse features</x:v>
      </x:c>
      <x:c r="C138" s="9" t="str">
        <x:v>Show P1 final position/heading plots and path visualization; record P2 status accurately.</x:v>
      </x:c>
      <x:c r="D138" s="9" t="str">
        <x:v>Every parking claim maps to five trials or is explicitly experimental; reverse is never inferred from harness alone.</x:v>
      </x:c>
      <x:c r="E138" s="7" t="str">
        <x:v>Docs &amp; Report</x:v>
      </x:c>
      <x:c r="F138" s="7" t="str">
        <x:v>A</x:v>
      </x:c>
      <x:c r="G138" s="7" t="str">
        <x:v>G5</x:v>
      </x:c>
      <x:c r="H138" s="7" t="str">
        <x:v>P0 must</x:v>
      </x:c>
      <x:c r="I138" s="7" t="str">
        <x:v>Zhaolin</x:v>
      </x:c>
      <x:c r="J138" s="7" t="str">
        <x:f>IF(VLOOKUP(I138,'Team'!$A$2:$B$7,2,FALSE)="","",VLOOKUP(I138,'Team'!$A$2:$B$7,2,FALSE))</x:f>
      </x:c>
      <x:c r="K138" s="7" t="str">
        <x:v>Abdullah</x:v>
      </x:c>
      <x:c r="L138" s="10" t="n">
        <x:v>46324</x:v>
      </x:c>
      <x:c r="M138" s="10" t="n">
        <x:v>46324</x:v>
      </x:c>
      <x:c r="N138" s="11" t="n">
        <x:v>2</x:v>
      </x:c>
      <x:c r="O138" s="7" t="str">
        <x:v>G4-01,E5-06</x:v>
      </x:c>
      <x:c r="P138" s="7" t="str"/>
      <x:c r="Q138" s="7" t="str">
        <x:v>N</x:v>
      </x:c>
      <x:c r="R138" s="7" t="str">
        <x:v>docs/parking.md; docs/report/figures/</x:v>
      </x:c>
      <x:c r="S138" s="7" t="str">
        <x:v>Parking result figure and limitations</x:v>
      </x:c>
      <x:c r="T138" s="7" t="str">
        <x:v>All four report sections</x:v>
      </x:c>
      <x:c r="U138" s="7" t="str">
        <x:v>workstream:a;priority:p0;category:docs-report</x:v>
      </x:c>
      <x:c r="V138" s="7" t="str">
        <x:v>Todo</x:v>
      </x:c>
      <x:c r="W138" s="7" t="str"/>
      <x:c r="X138" s="9" t="str">
        <x:v>Internal Sydney date. Estimate includes implementation, author checks and handoff; reviewer time is separately budgeted.</x:v>
      </x:c>
      <x:c r="Y138" s="12" t="n">
        <x:f>INT((M138-'Import Guide'!$B$3)/7)+1</x:f>
        <x:v>3</x:v>
      </x:c>
      <x:c r="Z138" s="12" t="str">
        <x:f>VLOOKUP(A138,'Dependencies'!$A$2:$G$224,7,FALSE)</x:f>
        <x:v>OK</x:v>
      </x:c>
      <x:c r="AA138" s="12" t="str">
        <x:f>IF(COUNTIFS('Milestones'!$A$2:$A$7,G138)&lt;&gt;1,"BAD GATE",IF(M138&lt;=VLOOKUP(G138,'Milestones'!$A$2:$C$7,3,FALSE),"OK","LATE"))</x:f>
        <x:v>OK</x:v>
      </x:c>
      <x:c r="AB138" s="12" t="n">
        <x:f>IF(OR(V138="Done",V138="Cut"),"",M138-TODAY())</x:f>
        <x:v>21</x:v>
      </x:c>
    </x:row>
    <x:row r="139" ht="90" customHeight="1">
      <x:c r="A139" s="7" t="str">
        <x:v>REV-MOH-1</x:v>
      </x:c>
      <x:c r="B139" s="7" t="str">
        <x:v>Review Alan work for Week 1</x:v>
      </x:c>
      <x:c r="C139" s="9" t="str">
        <x:v>Review partner PRs throughout the week, check interfaces and evidence; this row reserves total reviewer time.</x:v>
      </x:c>
      <x:c r="D139" s="9" t="str">
        <x:v>Focused reviews include reproducible checks and a recorded disposition; review backlog zero at gate.</x:v>
      </x:c>
      <x:c r="E139" s="7" t="str">
        <x:v>Process</x:v>
      </x:c>
      <x:c r="F139" s="7" t="str">
        <x:v>B</x:v>
      </x:c>
      <x:c r="G139" s="7" t="str">
        <x:v>G1</x:v>
      </x:c>
      <x:c r="H139" s="7" t="str">
        <x:v>P0 must</x:v>
      </x:c>
      <x:c r="I139" s="7" t="str">
        <x:v>Mohammad</x:v>
      </x:c>
      <x:c r="J139" s="7" t="str">
        <x:f>IF(VLOOKUP(I139,'Team'!$A$2:$B$7,2,FALSE)="","",VLOOKUP(I139,'Team'!$A$2:$B$7,2,FALSE))</x:f>
        <x:v>kkaaman</x:v>
      </x:c>
      <x:c r="K139" s="7" t="str">
        <x:v>Alan</x:v>
      </x:c>
      <x:c r="L139" s="10" t="n">
        <x:v>46307</x:v>
      </x:c>
      <x:c r="M139" s="10" t="n">
        <x:v>46313</x:v>
      </x:c>
      <x:c r="N139" s="11" t="n">
        <x:v>3</x:v>
      </x:c>
      <x:c r="O139" s="7" t="str">
        <x:v>PROC-01</x:v>
      </x:c>
      <x:c r="P139" s="7" t="str"/>
      <x:c r="Q139" s="7" t="str">
        <x:v>N</x:v>
      </x:c>
      <x:c r="R139" s="7" t="str">
        <x:v>Pull requests; docs/reviews.md</x:v>
      </x:c>
      <x:c r="S139" s="7" t="str">
        <x:v>Week 1 review links</x:v>
      </x:c>
      <x:c r="T139" s="7" t="str">
        <x:v>Scope and rationale</x:v>
      </x:c>
      <x:c r="U139" s="7" t="str">
        <x:v>workstream:b;priority:p0;category:process</x:v>
      </x:c>
      <x:c r="V139" s="7" t="str">
        <x:v>Todo</x:v>
      </x:c>
      <x:c r="W139" s="7" t="str"/>
      <x:c r="X139" s="9" t="str">
        <x:v>Time budget spread across the week, not continuous work or all on due date. Reviews occur before dependent task starts. One row totals &lt;=3 h of short sessions. Same-day handoff: complete/review PROC-01 before starting this task.</x:v>
      </x:c>
      <x:c r="Y139" s="12" t="n">
        <x:f>INT((M139-'Import Guide'!$B$3)/7)+1</x:f>
        <x:v>1</x:v>
      </x:c>
      <x:c r="Z139" s="12" t="str">
        <x:f>VLOOKUP(A139,'Dependencies'!$A$2:$G$224,7,FALSE)</x:f>
        <x:v>OK</x:v>
      </x:c>
      <x:c r="AA139" s="12" t="str">
        <x:f>IF(COUNTIFS('Milestones'!$A$2:$A$7,G139)&lt;&gt;1,"BAD GATE",IF(M139&lt;=VLOOKUP(G139,'Milestones'!$A$2:$C$7,3,FALSE),"OK","LATE"))</x:f>
        <x:v>OK</x:v>
      </x:c>
      <x:c r="AB139" s="12" t="n">
        <x:f>IF(OR(V139="Done",V139="Cut"),"",M139-TODAY())</x:f>
        <x:v>10</x:v>
      </x:c>
    </x:row>
    <x:row r="140" ht="90" customHeight="1">
      <x:c r="A140" s="7" t="str">
        <x:v>COM-MOH-1</x:v>
      </x:c>
      <x:c r="B140" s="7" t="str">
        <x:v>Attend Week 1 integration and cross-training sessions</x:v>
      </x:c>
      <x:c r="C140" s="9" t="str">
        <x:v>Budget kickoff/check-ins and a paired explanation of one unfamiliar module; distribute time through the week.</x:v>
      </x:c>
      <x:c r="D140" s="9" t="str">
        <x:v>Decisions/blockers recorded; member can explain inputs, failure mode and test of partner module.</x:v>
      </x:c>
      <x:c r="E140" s="7" t="str">
        <x:v>Process</x:v>
      </x:c>
      <x:c r="F140" s="7" t="str">
        <x:v>B</x:v>
      </x:c>
      <x:c r="G140" s="7" t="str">
        <x:v>G1</x:v>
      </x:c>
      <x:c r="H140" s="7" t="str">
        <x:v>P0 must</x:v>
      </x:c>
      <x:c r="I140" s="7" t="str">
        <x:v>Mohammad</x:v>
      </x:c>
      <x:c r="J140" s="7" t="str">
        <x:f>IF(VLOOKUP(I140,'Team'!$A$2:$B$7,2,FALSE)="","",VLOOKUP(I140,'Team'!$A$2:$B$7,2,FALSE))</x:f>
        <x:v>kkaaman</x:v>
      </x:c>
      <x:c r="K140" s="7" t="str">
        <x:v>Alan</x:v>
      </x:c>
      <x:c r="L140" s="10" t="n">
        <x:v>46307</x:v>
      </x:c>
      <x:c r="M140" s="10" t="n">
        <x:v>46313</x:v>
      </x:c>
      <x:c r="N140" s="11" t="n">
        <x:v>1.5</x:v>
      </x:c>
      <x:c r="O140" s="7" t="str"/>
      <x:c r="P140" s="7" t="str"/>
      <x:c r="Q140" s="7" t="str">
        <x:v>N</x:v>
      </x:c>
      <x:c r="R140" s="7" t="str">
        <x:v>docs/knowledge-matrix.md</x:v>
      </x:c>
      <x:c r="S140" s="7" t="str">
        <x:v>Week 1 cross-training record</x:v>
      </x:c>
      <x:c r="T140" s="7" t="str">
        <x:v>Scope and rationale</x:v>
      </x:c>
      <x:c r="U140" s="7" t="str">
        <x:v>workstream:b;priority:p0;category:process</x:v>
      </x:c>
      <x:c r="V140" s="7" t="str">
        <x:v>Todo</x:v>
      </x:c>
      <x:c r="W140" s="7" t="str"/>
      <x:c r="X140" s="9" t="str">
        <x:v>Time budget spread across the week, not continuous work or all on due date. Reviews occur before dependent task starts. One row totals &lt;=3 h of short sessions.</x:v>
      </x:c>
      <x:c r="Y140" s="12" t="n">
        <x:f>INT((M140-'Import Guide'!$B$3)/7)+1</x:f>
        <x:v>1</x:v>
      </x:c>
      <x:c r="Z140" s="12" t="str">
        <x:f>VLOOKUP(A140,'Dependencies'!$A$2:$G$224,7,FALSE)</x:f>
        <x:v>OK</x:v>
      </x:c>
      <x:c r="AA140" s="12" t="str">
        <x:f>IF(COUNTIFS('Milestones'!$A$2:$A$7,G140)&lt;&gt;1,"BAD GATE",IF(M140&lt;=VLOOKUP(G140,'Milestones'!$A$2:$C$7,3,FALSE),"OK","LATE"))</x:f>
        <x:v>OK</x:v>
      </x:c>
      <x:c r="AB140" s="12" t="n">
        <x:f>IF(OR(V140="Done",V140="Cut"),"",M140-TODAY())</x:f>
        <x:v>10</x:v>
      </x:c>
    </x:row>
    <x:row r="141" ht="90" customHeight="1">
      <x:c r="A141" s="7" t="str">
        <x:v>IND-MOH-AI1</x:v>
      </x:c>
      <x:c r="B141" s="7" t="str">
        <x:v>Check Week 1 AI Journal and commit disclosures</x:v>
      </x:c>
      <x:c r="C141" s="9" t="str">
        <x:v>Privately reconcile significant VSCode AI Journal entries with commits and reviews.</x:v>
      </x:c>
      <x:c r="D141" s="9" t="str">
        <x:v>All significant interactions recorded; AI-assisted footer names actual reviewer; journal content stays private.</x:v>
      </x:c>
      <x:c r="E141" s="7" t="str">
        <x:v>Individual</x:v>
      </x:c>
      <x:c r="F141" s="7" t="str">
        <x:v>B</x:v>
      </x:c>
      <x:c r="G141" s="7" t="str">
        <x:v>G1</x:v>
      </x:c>
      <x:c r="H141" s="7" t="str">
        <x:v>P0 must</x:v>
      </x:c>
      <x:c r="I141" s="7" t="str">
        <x:v>Mohammad</x:v>
      </x:c>
      <x:c r="J141" s="7" t="str">
        <x:f>IF(VLOOKUP(I141,'Team'!$A$2:$B$7,2,FALSE)="","",VLOOKUP(I141,'Team'!$A$2:$B$7,2,FALSE))</x:f>
        <x:v>kkaaman</x:v>
      </x:c>
      <x:c r="K141" s="7" t="str">
        <x:v>Alan</x:v>
      </x:c>
      <x:c r="L141" s="10" t="n">
        <x:v>46313</x:v>
      </x:c>
      <x:c r="M141" s="10" t="n">
        <x:v>46313</x:v>
      </x:c>
      <x:c r="N141" s="11" t="n">
        <x:v>0.5</x:v>
      </x:c>
      <x:c r="O141" s="7" t="str"/>
      <x:c r="P141" s="7" t="str"/>
      <x:c r="Q141" s="7" t="str">
        <x:v>N</x:v>
      </x:c>
      <x:c r="R141" s="7" t="str">
        <x:v>Private AI Journal; commit history</x:v>
      </x:c>
      <x:c r="S141" s="7" t="str">
        <x:v>Private completion confirmation only</x:v>
      </x:c>
      <x:c r="T141" s="7" t="str">
        <x:v>Individual (private)</x:v>
      </x:c>
      <x:c r="U141" s="7" t="str">
        <x:v>workstream:b;priority:p0;category:individual</x:v>
      </x:c>
      <x:c r="V141" s="7" t="str">
        <x:v>Todo</x:v>
      </x:c>
      <x:c r="W141" s="7" t="str"/>
      <x:c r="X141" s="9" t="str">
        <x:v>Internal readiness date only. Actual Canvas/Week 13/SparkPLUS deadlines are unconfirmed. Public task stores no private reflection or assessment content.</x:v>
      </x:c>
      <x:c r="Y141" s="12" t="n">
        <x:f>INT((M141-'Import Guide'!$B$3)/7)+1</x:f>
        <x:v>1</x:v>
      </x:c>
      <x:c r="Z141" s="12" t="str">
        <x:f>VLOOKUP(A141,'Dependencies'!$A$2:$G$224,7,FALSE)</x:f>
        <x:v>OK</x:v>
      </x:c>
      <x:c r="AA141" s="12" t="str">
        <x:f>IF(COUNTIFS('Milestones'!$A$2:$A$7,G141)&lt;&gt;1,"BAD GATE",IF(M141&lt;=VLOOKUP(G141,'Milestones'!$A$2:$C$7,3,FALSE),"OK","LATE"))</x:f>
        <x:v>OK</x:v>
      </x:c>
      <x:c r="AB141" s="12" t="n">
        <x:f>IF(OR(V141="Done",V141="Cut"),"",M141-TODAY())</x:f>
        <x:v>10</x:v>
      </x:c>
    </x:row>
    <x:row r="142" ht="90" customHeight="1">
      <x:c r="A142" s="7" t="str">
        <x:v>REV-MOH-2</x:v>
      </x:c>
      <x:c r="B142" s="7" t="str">
        <x:v>Review Alan work for Week 2</x:v>
      </x:c>
      <x:c r="C142" s="9" t="str">
        <x:v>Review partner PRs throughout the week, check interfaces and evidence; this row reserves total reviewer time.</x:v>
      </x:c>
      <x:c r="D142" s="9" t="str">
        <x:v>Focused reviews include reproducible checks and a recorded disposition; review backlog zero at gate.</x:v>
      </x:c>
      <x:c r="E142" s="7" t="str">
        <x:v>Process</x:v>
      </x:c>
      <x:c r="F142" s="7" t="str">
        <x:v>B</x:v>
      </x:c>
      <x:c r="G142" s="7" t="str">
        <x:v>G3</x:v>
      </x:c>
      <x:c r="H142" s="7" t="str">
        <x:v>P0 must</x:v>
      </x:c>
      <x:c r="I142" s="7" t="str">
        <x:v>Mohammad</x:v>
      </x:c>
      <x:c r="J142" s="7" t="str">
        <x:f>IF(VLOOKUP(I142,'Team'!$A$2:$B$7,2,FALSE)="","",VLOOKUP(I142,'Team'!$A$2:$B$7,2,FALSE))</x:f>
        <x:v>kkaaman</x:v>
      </x:c>
      <x:c r="K142" s="7" t="str">
        <x:v>Alan</x:v>
      </x:c>
      <x:c r="L142" s="10" t="n">
        <x:v>46314</x:v>
      </x:c>
      <x:c r="M142" s="10" t="n">
        <x:v>46320</x:v>
      </x:c>
      <x:c r="N142" s="11" t="n">
        <x:v>3</x:v>
      </x:c>
      <x:c r="O142" s="7" t="str">
        <x:v>PROC-01</x:v>
      </x:c>
      <x:c r="P142" s="7" t="str"/>
      <x:c r="Q142" s="7" t="str">
        <x:v>N</x:v>
      </x:c>
      <x:c r="R142" s="7" t="str">
        <x:v>Pull requests; docs/reviews.md</x:v>
      </x:c>
      <x:c r="S142" s="7" t="str">
        <x:v>Week 2 review links</x:v>
      </x:c>
      <x:c r="T142" s="7" t="str">
        <x:v>Scope and rationale</x:v>
      </x:c>
      <x:c r="U142" s="7" t="str">
        <x:v>workstream:b;priority:p0;category:process</x:v>
      </x:c>
      <x:c r="V142" s="7" t="str">
        <x:v>Todo</x:v>
      </x:c>
      <x:c r="W142" s="7" t="str"/>
      <x:c r="X142" s="9" t="str">
        <x:v>Time budget spread across the week, not continuous work or all on due date. Reviews occur before dependent task starts. One row totals &lt;=3 h of short sessions.</x:v>
      </x:c>
      <x:c r="Y142" s="12" t="n">
        <x:f>INT((M142-'Import Guide'!$B$3)/7)+1</x:f>
        <x:v>2</x:v>
      </x:c>
      <x:c r="Z142" s="12" t="str">
        <x:f>VLOOKUP(A142,'Dependencies'!$A$2:$G$224,7,FALSE)</x:f>
        <x:v>OK</x:v>
      </x:c>
      <x:c r="AA142" s="12" t="str">
        <x:f>IF(COUNTIFS('Milestones'!$A$2:$A$7,G142)&lt;&gt;1,"BAD GATE",IF(M142&lt;=VLOOKUP(G142,'Milestones'!$A$2:$C$7,3,FALSE),"OK","LATE"))</x:f>
        <x:v>OK</x:v>
      </x:c>
      <x:c r="AB142" s="12" t="n">
        <x:f>IF(OR(V142="Done",V142="Cut"),"",M142-TODAY())</x:f>
        <x:v>17</x:v>
      </x:c>
    </x:row>
    <x:row r="143" ht="90" customHeight="1">
      <x:c r="A143" s="7" t="str">
        <x:v>COM-MOH-2</x:v>
      </x:c>
      <x:c r="B143" s="7" t="str">
        <x:v>Attend Week 2 integration and cross-training sessions</x:v>
      </x:c>
      <x:c r="C143" s="9" t="str">
        <x:v>Budget kickoff/check-ins and a paired explanation of one unfamiliar module; distribute time through the week.</x:v>
      </x:c>
      <x:c r="D143" s="9" t="str">
        <x:v>Decisions/blockers recorded; member can explain inputs, failure mode and test of partner module.</x:v>
      </x:c>
      <x:c r="E143" s="7" t="str">
        <x:v>Process</x:v>
      </x:c>
      <x:c r="F143" s="7" t="str">
        <x:v>B</x:v>
      </x:c>
      <x:c r="G143" s="7" t="str">
        <x:v>G3</x:v>
      </x:c>
      <x:c r="H143" s="7" t="str">
        <x:v>P0 must</x:v>
      </x:c>
      <x:c r="I143" s="7" t="str">
        <x:v>Mohammad</x:v>
      </x:c>
      <x:c r="J143" s="7" t="str">
        <x:f>IF(VLOOKUP(I143,'Team'!$A$2:$B$7,2,FALSE)="","",VLOOKUP(I143,'Team'!$A$2:$B$7,2,FALSE))</x:f>
        <x:v>kkaaman</x:v>
      </x:c>
      <x:c r="K143" s="7" t="str">
        <x:v>Alan</x:v>
      </x:c>
      <x:c r="L143" s="10" t="n">
        <x:v>46314</x:v>
      </x:c>
      <x:c r="M143" s="10" t="n">
        <x:v>46320</x:v>
      </x:c>
      <x:c r="N143" s="11" t="n">
        <x:v>1.5</x:v>
      </x:c>
      <x:c r="O143" s="7" t="str"/>
      <x:c r="P143" s="7" t="str"/>
      <x:c r="Q143" s="7" t="str">
        <x:v>N</x:v>
      </x:c>
      <x:c r="R143" s="7" t="str">
        <x:v>docs/knowledge-matrix.md</x:v>
      </x:c>
      <x:c r="S143" s="7" t="str">
        <x:v>Week 2 cross-training record</x:v>
      </x:c>
      <x:c r="T143" s="7" t="str">
        <x:v>Scope and rationale</x:v>
      </x:c>
      <x:c r="U143" s="7" t="str">
        <x:v>workstream:b;priority:p0;category:process</x:v>
      </x:c>
      <x:c r="V143" s="7" t="str">
        <x:v>Todo</x:v>
      </x:c>
      <x:c r="W143" s="7" t="str"/>
      <x:c r="X143" s="9" t="str">
        <x:v>Time budget spread across the week, not continuous work or all on due date. Reviews occur before dependent task starts. One row totals &lt;=3 h of short sessions.</x:v>
      </x:c>
      <x:c r="Y143" s="12" t="n">
        <x:f>INT((M143-'Import Guide'!$B$3)/7)+1</x:f>
        <x:v>2</x:v>
      </x:c>
      <x:c r="Z143" s="12" t="str">
        <x:f>VLOOKUP(A143,'Dependencies'!$A$2:$G$224,7,FALSE)</x:f>
        <x:v>OK</x:v>
      </x:c>
      <x:c r="AA143" s="12" t="str">
        <x:f>IF(COUNTIFS('Milestones'!$A$2:$A$7,G143)&lt;&gt;1,"BAD GATE",IF(M143&lt;=VLOOKUP(G143,'Milestones'!$A$2:$C$7,3,FALSE),"OK","LATE"))</x:f>
        <x:v>OK</x:v>
      </x:c>
      <x:c r="AB143" s="12" t="n">
        <x:f>IF(OR(V143="Done",V143="Cut"),"",M143-TODAY())</x:f>
        <x:v>17</x:v>
      </x:c>
    </x:row>
    <x:row r="144" ht="90" customHeight="1">
      <x:c r="A144" s="7" t="str">
        <x:v>IND-MOH-AI2</x:v>
      </x:c>
      <x:c r="B144" s="7" t="str">
        <x:v>Check Week 2 AI Journal and commit disclosures</x:v>
      </x:c>
      <x:c r="C144" s="9" t="str">
        <x:v>Privately reconcile significant VSCode AI Journal entries with commits and reviews.</x:v>
      </x:c>
      <x:c r="D144" s="9" t="str">
        <x:v>All significant interactions recorded; AI-assisted footer names actual reviewer; journal content stays private.</x:v>
      </x:c>
      <x:c r="E144" s="7" t="str">
        <x:v>Individual</x:v>
      </x:c>
      <x:c r="F144" s="7" t="str">
        <x:v>B</x:v>
      </x:c>
      <x:c r="G144" s="7" t="str">
        <x:v>G3</x:v>
      </x:c>
      <x:c r="H144" s="7" t="str">
        <x:v>P0 must</x:v>
      </x:c>
      <x:c r="I144" s="7" t="str">
        <x:v>Mohammad</x:v>
      </x:c>
      <x:c r="J144" s="7" t="str">
        <x:f>IF(VLOOKUP(I144,'Team'!$A$2:$B$7,2,FALSE)="","",VLOOKUP(I144,'Team'!$A$2:$B$7,2,FALSE))</x:f>
        <x:v>kkaaman</x:v>
      </x:c>
      <x:c r="K144" s="7" t="str">
        <x:v>Alan</x:v>
      </x:c>
      <x:c r="L144" s="10" t="n">
        <x:v>46320</x:v>
      </x:c>
      <x:c r="M144" s="10" t="n">
        <x:v>46320</x:v>
      </x:c>
      <x:c r="N144" s="11" t="n">
        <x:v>0.5</x:v>
      </x:c>
      <x:c r="O144" s="7" t="str"/>
      <x:c r="P144" s="7" t="str"/>
      <x:c r="Q144" s="7" t="str">
        <x:v>N</x:v>
      </x:c>
      <x:c r="R144" s="7" t="str">
        <x:v>Private AI Journal; commit history</x:v>
      </x:c>
      <x:c r="S144" s="7" t="str">
        <x:v>Private completion confirmation only</x:v>
      </x:c>
      <x:c r="T144" s="7" t="str">
        <x:v>Individual (private)</x:v>
      </x:c>
      <x:c r="U144" s="7" t="str">
        <x:v>workstream:b;priority:p0;category:individual</x:v>
      </x:c>
      <x:c r="V144" s="7" t="str">
        <x:v>Todo</x:v>
      </x:c>
      <x:c r="W144" s="7" t="str"/>
      <x:c r="X144" s="9" t="str">
        <x:v>Internal readiness date only. Actual Canvas/Week 13/SparkPLUS deadlines are unconfirmed. Public task stores no private reflection or assessment content.</x:v>
      </x:c>
      <x:c r="Y144" s="12" t="n">
        <x:f>INT((M144-'Import Guide'!$B$3)/7)+1</x:f>
        <x:v>2</x:v>
      </x:c>
      <x:c r="Z144" s="12" t="str">
        <x:f>VLOOKUP(A144,'Dependencies'!$A$2:$G$224,7,FALSE)</x:f>
        <x:v>OK</x:v>
      </x:c>
      <x:c r="AA144" s="12" t="str">
        <x:f>IF(COUNTIFS('Milestones'!$A$2:$A$7,G144)&lt;&gt;1,"BAD GATE",IF(M144&lt;=VLOOKUP(G144,'Milestones'!$A$2:$C$7,3,FALSE),"OK","LATE"))</x:f>
        <x:v>OK</x:v>
      </x:c>
      <x:c r="AB144" s="12" t="n">
        <x:f>IF(OR(V144="Done",V144="Cut"),"",M144-TODAY())</x:f>
        <x:v>17</x:v>
      </x:c>
    </x:row>
    <x:row r="145" ht="90" customHeight="1">
      <x:c r="A145" s="7" t="str">
        <x:v>REV-MOH-3</x:v>
      </x:c>
      <x:c r="B145" s="7" t="str">
        <x:v>Review Alan work for Week 3</x:v>
      </x:c>
      <x:c r="C145" s="9" t="str">
        <x:v>Review partner PRs throughout the week, check interfaces and evidence; this row reserves total reviewer time.</x:v>
      </x:c>
      <x:c r="D145" s="9" t="str">
        <x:v>Focused reviews include reproducible checks and a recorded disposition; review backlog zero at gate.</x:v>
      </x:c>
      <x:c r="E145" s="7" t="str">
        <x:v>Process</x:v>
      </x:c>
      <x:c r="F145" s="7" t="str">
        <x:v>B</x:v>
      </x:c>
      <x:c r="G145" s="7" t="str">
        <x:v>G5</x:v>
      </x:c>
      <x:c r="H145" s="7" t="str">
        <x:v>P0 must</x:v>
      </x:c>
      <x:c r="I145" s="7" t="str">
        <x:v>Mohammad</x:v>
      </x:c>
      <x:c r="J145" s="7" t="str">
        <x:f>IF(VLOOKUP(I145,'Team'!$A$2:$B$7,2,FALSE)="","",VLOOKUP(I145,'Team'!$A$2:$B$7,2,FALSE))</x:f>
        <x:v>kkaaman</x:v>
      </x:c>
      <x:c r="K145" s="7" t="str">
        <x:v>Alan</x:v>
      </x:c>
      <x:c r="L145" s="10" t="n">
        <x:v>46321</x:v>
      </x:c>
      <x:c r="M145" s="10" t="n">
        <x:v>46326</x:v>
      </x:c>
      <x:c r="N145" s="11" t="n">
        <x:v>3</x:v>
      </x:c>
      <x:c r="O145" s="7" t="str">
        <x:v>PROC-01</x:v>
      </x:c>
      <x:c r="P145" s="7" t="str"/>
      <x:c r="Q145" s="7" t="str">
        <x:v>N</x:v>
      </x:c>
      <x:c r="R145" s="7" t="str">
        <x:v>Pull requests; docs/reviews.md</x:v>
      </x:c>
      <x:c r="S145" s="7" t="str">
        <x:v>Week 3 review links</x:v>
      </x:c>
      <x:c r="T145" s="7" t="str">
        <x:v>Scope and rationale</x:v>
      </x:c>
      <x:c r="U145" s="7" t="str">
        <x:v>workstream:b;priority:p0;category:process</x:v>
      </x:c>
      <x:c r="V145" s="7" t="str">
        <x:v>Todo</x:v>
      </x:c>
      <x:c r="W145" s="7" t="str"/>
      <x:c r="X145" s="9" t="str">
        <x:v>Time budget spread across the week, not continuous work or all on due date. Reviews occur before dependent task starts. One row totals &lt;=3 h of short sessions.</x:v>
      </x:c>
      <x:c r="Y145" s="12" t="n">
        <x:f>INT((M145-'Import Guide'!$B$3)/7)+1</x:f>
        <x:v>3</x:v>
      </x:c>
      <x:c r="Z145" s="12" t="str">
        <x:f>VLOOKUP(A145,'Dependencies'!$A$2:$G$224,7,FALSE)</x:f>
        <x:v>OK</x:v>
      </x:c>
      <x:c r="AA145" s="12" t="str">
        <x:f>IF(COUNTIFS('Milestones'!$A$2:$A$7,G145)&lt;&gt;1,"BAD GATE",IF(M145&lt;=VLOOKUP(G145,'Milestones'!$A$2:$C$7,3,FALSE),"OK","LATE"))</x:f>
        <x:v>OK</x:v>
      </x:c>
      <x:c r="AB145" s="12" t="n">
        <x:f>IF(OR(V145="Done",V145="Cut"),"",M145-TODAY())</x:f>
        <x:v>23</x:v>
      </x:c>
    </x:row>
    <x:row r="146" ht="90" customHeight="1">
      <x:c r="A146" s="7" t="str">
        <x:v>COM-MOH-3</x:v>
      </x:c>
      <x:c r="B146" s="7" t="str">
        <x:v>Attend Week 3 integration and cross-training sessions</x:v>
      </x:c>
      <x:c r="C146" s="9" t="str">
        <x:v>Budget kickoff/check-ins and a paired explanation of one unfamiliar module; distribute time through the week.</x:v>
      </x:c>
      <x:c r="D146" s="9" t="str">
        <x:v>Decisions/blockers recorded; member can explain inputs, failure mode and test of partner module.</x:v>
      </x:c>
      <x:c r="E146" s="7" t="str">
        <x:v>Process</x:v>
      </x:c>
      <x:c r="F146" s="7" t="str">
        <x:v>B</x:v>
      </x:c>
      <x:c r="G146" s="7" t="str">
        <x:v>G5</x:v>
      </x:c>
      <x:c r="H146" s="7" t="str">
        <x:v>P0 must</x:v>
      </x:c>
      <x:c r="I146" s="7" t="str">
        <x:v>Mohammad</x:v>
      </x:c>
      <x:c r="J146" s="7" t="str">
        <x:f>IF(VLOOKUP(I146,'Team'!$A$2:$B$7,2,FALSE)="","",VLOOKUP(I146,'Team'!$A$2:$B$7,2,FALSE))</x:f>
        <x:v>kkaaman</x:v>
      </x:c>
      <x:c r="K146" s="7" t="str">
        <x:v>Alan</x:v>
      </x:c>
      <x:c r="L146" s="10" t="n">
        <x:v>46321</x:v>
      </x:c>
      <x:c r="M146" s="10" t="n">
        <x:v>46326</x:v>
      </x:c>
      <x:c r="N146" s="11" t="n">
        <x:v>1.5</x:v>
      </x:c>
      <x:c r="O146" s="7" t="str"/>
      <x:c r="P146" s="7" t="str"/>
      <x:c r="Q146" s="7" t="str">
        <x:v>N</x:v>
      </x:c>
      <x:c r="R146" s="7" t="str">
        <x:v>docs/knowledge-matrix.md</x:v>
      </x:c>
      <x:c r="S146" s="7" t="str">
        <x:v>Week 3 cross-training record</x:v>
      </x:c>
      <x:c r="T146" s="7" t="str">
        <x:v>Scope and rationale</x:v>
      </x:c>
      <x:c r="U146" s="7" t="str">
        <x:v>workstream:b;priority:p0;category:process</x:v>
      </x:c>
      <x:c r="V146" s="7" t="str">
        <x:v>Todo</x:v>
      </x:c>
      <x:c r="W146" s="7" t="str"/>
      <x:c r="X146" s="9" t="str">
        <x:v>Time budget spread across the week, not continuous work or all on due date. Reviews occur before dependent task starts. One row totals &lt;=3 h of short sessions.</x:v>
      </x:c>
      <x:c r="Y146" s="12" t="n">
        <x:f>INT((M146-'Import Guide'!$B$3)/7)+1</x:f>
        <x:v>3</x:v>
      </x:c>
      <x:c r="Z146" s="12" t="str">
        <x:f>VLOOKUP(A146,'Dependencies'!$A$2:$G$224,7,FALSE)</x:f>
        <x:v>OK</x:v>
      </x:c>
      <x:c r="AA146" s="12" t="str">
        <x:f>IF(COUNTIFS('Milestones'!$A$2:$A$7,G146)&lt;&gt;1,"BAD GATE",IF(M146&lt;=VLOOKUP(G146,'Milestones'!$A$2:$C$7,3,FALSE),"OK","LATE"))</x:f>
        <x:v>OK</x:v>
      </x:c>
      <x:c r="AB146" s="12" t="n">
        <x:f>IF(OR(V146="Done",V146="Cut"),"",M146-TODAY())</x:f>
        <x:v>23</x:v>
      </x:c>
    </x:row>
    <x:row r="147" ht="90" customHeight="1">
      <x:c r="A147" s="7" t="str">
        <x:v>IND-MOH-AI3</x:v>
      </x:c>
      <x:c r="B147" s="7" t="str">
        <x:v>Check Week 3 AI Journal and commit disclosures</x:v>
      </x:c>
      <x:c r="C147" s="9" t="str">
        <x:v>Privately reconcile significant VSCode AI Journal entries with commits and reviews.</x:v>
      </x:c>
      <x:c r="D147" s="9" t="str">
        <x:v>All significant interactions recorded; AI-assisted footer names actual reviewer; journal content stays private.</x:v>
      </x:c>
      <x:c r="E147" s="7" t="str">
        <x:v>Individual</x:v>
      </x:c>
      <x:c r="F147" s="7" t="str">
        <x:v>B</x:v>
      </x:c>
      <x:c r="G147" s="7" t="str">
        <x:v>G5</x:v>
      </x:c>
      <x:c r="H147" s="7" t="str">
        <x:v>P0 must</x:v>
      </x:c>
      <x:c r="I147" s="7" t="str">
        <x:v>Mohammad</x:v>
      </x:c>
      <x:c r="J147" s="7" t="str">
        <x:f>IF(VLOOKUP(I147,'Team'!$A$2:$B$7,2,FALSE)="","",VLOOKUP(I147,'Team'!$A$2:$B$7,2,FALSE))</x:f>
        <x:v>kkaaman</x:v>
      </x:c>
      <x:c r="K147" s="7" t="str">
        <x:v>Alan</x:v>
      </x:c>
      <x:c r="L147" s="10" t="n">
        <x:v>46326</x:v>
      </x:c>
      <x:c r="M147" s="10" t="n">
        <x:v>46326</x:v>
      </x:c>
      <x:c r="N147" s="11" t="n">
        <x:v>0.5</x:v>
      </x:c>
      <x:c r="O147" s="7" t="str"/>
      <x:c r="P147" s="7" t="str"/>
      <x:c r="Q147" s="7" t="str">
        <x:v>N</x:v>
      </x:c>
      <x:c r="R147" s="7" t="str">
        <x:v>Private AI Journal; commit history</x:v>
      </x:c>
      <x:c r="S147" s="7" t="str">
        <x:v>Private completion confirmation only</x:v>
      </x:c>
      <x:c r="T147" s="7" t="str">
        <x:v>Individual (private)</x:v>
      </x:c>
      <x:c r="U147" s="7" t="str">
        <x:v>workstream:b;priority:p0;category:individual</x:v>
      </x:c>
      <x:c r="V147" s="7" t="str">
        <x:v>Todo</x:v>
      </x:c>
      <x:c r="W147" s="7" t="str"/>
      <x:c r="X147" s="9" t="str">
        <x:v>Internal readiness date only. Actual Canvas/Week 13/SparkPLUS deadlines are unconfirmed. Public task stores no private reflection or assessment content.</x:v>
      </x:c>
      <x:c r="Y147" s="12" t="n">
        <x:f>INT((M147-'Import Guide'!$B$3)/7)+1</x:f>
        <x:v>3</x:v>
      </x:c>
      <x:c r="Z147" s="12" t="str">
        <x:f>VLOOKUP(A147,'Dependencies'!$A$2:$G$224,7,FALSE)</x:f>
        <x:v>OK</x:v>
      </x:c>
      <x:c r="AA147" s="12" t="str">
        <x:f>IF(COUNTIFS('Milestones'!$A$2:$A$7,G147)&lt;&gt;1,"BAD GATE",IF(M147&lt;=VLOOKUP(G147,'Milestones'!$A$2:$C$7,3,FALSE),"OK","LATE"))</x:f>
        <x:v>OK</x:v>
      </x:c>
      <x:c r="AB147" s="12" t="n">
        <x:f>IF(OR(V147="Done",V147="Cut"),"",M147-TODAY())</x:f>
        <x:v>23</x:v>
      </x:c>
    </x:row>
    <x:row r="148" ht="90" customHeight="1">
      <x:c r="A148" s="7" t="str">
        <x:v>IND-MOH-REF</x:v>
      </x:c>
      <x:c r="B148" s="7" t="str">
        <x:v>Draft and privately check individual self-reflection</x:v>
      </x:c>
      <x:c r="C148" s="9" t="str">
        <x:v>Address contribution links, challenge/learning and specific AI Journal entries; this is readiness, not assumed submission.</x:v>
      </x:c>
      <x:c r="D148" s="9" t="str">
        <x:v>At most 1 page and 400 words; private file ready for actual Canvas deadline.</x:v>
      </x:c>
      <x:c r="E148" s="7" t="str">
        <x:v>Individual</x:v>
      </x:c>
      <x:c r="F148" s="7" t="str">
        <x:v>B</x:v>
      </x:c>
      <x:c r="G148" s="7" t="str">
        <x:v>G5</x:v>
      </x:c>
      <x:c r="H148" s="7" t="str">
        <x:v>P0 must</x:v>
      </x:c>
      <x:c r="I148" s="7" t="str">
        <x:v>Mohammad</x:v>
      </x:c>
      <x:c r="J148" s="7" t="str">
        <x:f>IF(VLOOKUP(I148,'Team'!$A$2:$B$7,2,FALSE)="","",VLOOKUP(I148,'Team'!$A$2:$B$7,2,FALSE))</x:f>
        <x:v>kkaaman</x:v>
      </x:c>
      <x:c r="K148" s="7" t="str">
        <x:v>Alan</x:v>
      </x:c>
      <x:c r="L148" s="10" t="n">
        <x:v>46325</x:v>
      </x:c>
      <x:c r="M148" s="10" t="n">
        <x:v>46325</x:v>
      </x:c>
      <x:c r="N148" s="11" t="n">
        <x:v>1</x:v>
      </x:c>
      <x:c r="O148" s="7" t="str"/>
      <x:c r="P148" s="7" t="str"/>
      <x:c r="Q148" s="7" t="str">
        <x:v>N</x:v>
      </x:c>
      <x:c r="R148" s="7" t="str">
        <x:v>Private self-reflection</x:v>
      </x:c>
      <x:c r="S148" s="7" t="str">
        <x:v>Private completion confirmation only</x:v>
      </x:c>
      <x:c r="T148" s="7" t="str">
        <x:v>Individual (private)</x:v>
      </x:c>
      <x:c r="U148" s="7" t="str">
        <x:v>workstream:b;priority:p0;category:individual</x:v>
      </x:c>
      <x:c r="V148" s="7" t="str">
        <x:v>Todo</x:v>
      </x:c>
      <x:c r="W148" s="7" t="str"/>
      <x:c r="X148" s="9" t="str">
        <x:v>Internal readiness date only. Actual Canvas/Week 13/SparkPLUS deadlines are unconfirmed. Public task stores no private reflection or assessment content.</x:v>
      </x:c>
      <x:c r="Y148" s="12" t="n">
        <x:f>INT((M148-'Import Guide'!$B$3)/7)+1</x:f>
        <x:v>3</x:v>
      </x:c>
      <x:c r="Z148" s="12" t="str">
        <x:f>VLOOKUP(A148,'Dependencies'!$A$2:$G$224,7,FALSE)</x:f>
        <x:v>OK</x:v>
      </x:c>
      <x:c r="AA148" s="12" t="str">
        <x:f>IF(COUNTIFS('Milestones'!$A$2:$A$7,G148)&lt;&gt;1,"BAD GATE",IF(M148&lt;=VLOOKUP(G148,'Milestones'!$A$2:$C$7,3,FALSE),"OK","LATE"))</x:f>
        <x:v>OK</x:v>
      </x:c>
      <x:c r="AB148" s="12" t="n">
        <x:f>IF(OR(V148="Done",V148="Cut"),"",M148-TODAY())</x:f>
        <x:v>22</x:v>
      </x:c>
    </x:row>
    <x:row r="149" ht="90" customHeight="1">
      <x:c r="A149" s="7" t="str">
        <x:v>IND-MOH-PEER</x:v>
      </x:c>
      <x:c r="B149" s="7" t="str">
        <x:v>Prepare peer-reflection forms and verify lab attendance</x:v>
      </x:c>
      <x:c r="C149" s="9" t="str">
        <x:v>Arrange attendance and two-other-team forms for actual Week 13 lab; completion occurs at the lab.</x:v>
      </x:c>
      <x:c r="D149" s="9" t="str">
        <x:v>Lab slot and at least two-team peer-reflection obligation recorded privately; actual lab task remains pending.</x:v>
      </x:c>
      <x:c r="E149" s="7" t="str">
        <x:v>Individual</x:v>
      </x:c>
      <x:c r="F149" s="7" t="str">
        <x:v>B</x:v>
      </x:c>
      <x:c r="G149" s="7" t="str">
        <x:v>G5</x:v>
      </x:c>
      <x:c r="H149" s="7" t="str">
        <x:v>P0 must</x:v>
      </x:c>
      <x:c r="I149" s="7" t="str">
        <x:v>Mohammad</x:v>
      </x:c>
      <x:c r="J149" s="7" t="str">
        <x:f>IF(VLOOKUP(I149,'Team'!$A$2:$B$7,2,FALSE)="","",VLOOKUP(I149,'Team'!$A$2:$B$7,2,FALSE))</x:f>
        <x:v>kkaaman</x:v>
      </x:c>
      <x:c r="K149" s="7" t="str">
        <x:v>Alan</x:v>
      </x:c>
      <x:c r="L149" s="10" t="n">
        <x:v>46326</x:v>
      </x:c>
      <x:c r="M149" s="10" t="n">
        <x:v>46326</x:v>
      </x:c>
      <x:c r="N149" s="11" t="n">
        <x:v>0.25</x:v>
      </x:c>
      <x:c r="O149" s="7" t="str"/>
      <x:c r="P149" s="7" t="str"/>
      <x:c r="Q149" s="7" t="str">
        <x:v>N</x:v>
      </x:c>
      <x:c r="R149" s="7" t="str">
        <x:v>Private Canvas checklist</x:v>
      </x:c>
      <x:c r="S149" s="7" t="str">
        <x:v>Prepared confirmation only</x:v>
      </x:c>
      <x:c r="T149" s="7" t="str">
        <x:v>Individual (private)</x:v>
      </x:c>
      <x:c r="U149" s="7" t="str">
        <x:v>workstream:b;priority:p0;category:individual</x:v>
      </x:c>
      <x:c r="V149" s="7" t="str">
        <x:v>Todo</x:v>
      </x:c>
      <x:c r="W149" s="7" t="str"/>
      <x:c r="X149" s="9" t="str">
        <x:v>Internal readiness date only. Actual Canvas/Week 13/SparkPLUS deadlines are unconfirmed. Public task stores no private reflection or assessment content.</x:v>
      </x:c>
      <x:c r="Y149" s="12" t="n">
        <x:f>INT((M149-'Import Guide'!$B$3)/7)+1</x:f>
        <x:v>3</x:v>
      </x:c>
      <x:c r="Z149" s="12" t="str">
        <x:f>VLOOKUP(A149,'Dependencies'!$A$2:$G$224,7,FALSE)</x:f>
        <x:v>OK</x:v>
      </x:c>
      <x:c r="AA149" s="12" t="str">
        <x:f>IF(COUNTIFS('Milestones'!$A$2:$A$7,G149)&lt;&gt;1,"BAD GATE",IF(M149&lt;=VLOOKUP(G149,'Milestones'!$A$2:$C$7,3,FALSE),"OK","LATE"))</x:f>
        <x:v>OK</x:v>
      </x:c>
      <x:c r="AB149" s="12" t="n">
        <x:f>IF(OR(V149="Done",V149="Cut"),"",M149-TODAY())</x:f>
        <x:v>23</x:v>
      </x:c>
    </x:row>
    <x:row r="150" ht="90" customHeight="1">
      <x:c r="A150" s="7" t="str">
        <x:v>IND-MOH-SPARK</x:v>
      </x:c>
      <x:c r="B150" s="7" t="str">
        <x:v>Verify SparkPLUS deadline and personal submission reminder</x:v>
      </x:c>
      <x:c r="C150" s="9" t="str">
        <x:v>Check Canvas portal deadline and availability; schedule own reminder; never submit another member's assessment.</x:v>
      </x:c>
      <x:c r="D150" s="9" t="str">
        <x:v>Actual deadline copied privately and reminder set by member; readiness is distinct from completed assessment.</x:v>
      </x:c>
      <x:c r="E150" s="7" t="str">
        <x:v>Individual</x:v>
      </x:c>
      <x:c r="F150" s="7" t="str">
        <x:v>B</x:v>
      </x:c>
      <x:c r="G150" s="7" t="str">
        <x:v>G5</x:v>
      </x:c>
      <x:c r="H150" s="7" t="str">
        <x:v>P0 must</x:v>
      </x:c>
      <x:c r="I150" s="7" t="str">
        <x:v>Mohammad</x:v>
      </x:c>
      <x:c r="J150" s="7" t="str">
        <x:f>IF(VLOOKUP(I150,'Team'!$A$2:$B$7,2,FALSE)="","",VLOOKUP(I150,'Team'!$A$2:$B$7,2,FALSE))</x:f>
        <x:v>kkaaman</x:v>
      </x:c>
      <x:c r="K150" s="7" t="str">
        <x:v>Alan</x:v>
      </x:c>
      <x:c r="L150" s="10" t="n">
        <x:v>46326</x:v>
      </x:c>
      <x:c r="M150" s="10" t="n">
        <x:v>46326</x:v>
      </x:c>
      <x:c r="N150" s="11" t="n">
        <x:v>0.25</x:v>
      </x:c>
      <x:c r="O150" s="7" t="str"/>
      <x:c r="P150" s="7" t="str"/>
      <x:c r="Q150" s="7" t="str">
        <x:v>N</x:v>
      </x:c>
      <x:c r="R150" s="7" t="str">
        <x:v>Private Canvas checklist</x:v>
      </x:c>
      <x:c r="S150" s="7" t="str">
        <x:v>Deadline verified confirmation only</x:v>
      </x:c>
      <x:c r="T150" s="7" t="str">
        <x:v>Individual (private)</x:v>
      </x:c>
      <x:c r="U150" s="7" t="str">
        <x:v>workstream:b;priority:p0;category:individual</x:v>
      </x:c>
      <x:c r="V150" s="7" t="str">
        <x:v>Todo</x:v>
      </x:c>
      <x:c r="W150" s="7" t="str"/>
      <x:c r="X150" s="9" t="str">
        <x:v>Internal readiness date only. Actual Canvas/Week 13/SparkPLUS deadlines are unconfirmed. Public task stores no private reflection or assessment content.</x:v>
      </x:c>
      <x:c r="Y150" s="12" t="n">
        <x:f>INT((M150-'Import Guide'!$B$3)/7)+1</x:f>
        <x:v>3</x:v>
      </x:c>
      <x:c r="Z150" s="12" t="str">
        <x:f>VLOOKUP(A150,'Dependencies'!$A$2:$G$224,7,FALSE)</x:f>
        <x:v>OK</x:v>
      </x:c>
      <x:c r="AA150" s="12" t="str">
        <x:f>IF(COUNTIFS('Milestones'!$A$2:$A$7,G150)&lt;&gt;1,"BAD GATE",IF(M150&lt;=VLOOKUP(G150,'Milestones'!$A$2:$C$7,3,FALSE),"OK","LATE"))</x:f>
        <x:v>OK</x:v>
      </x:c>
      <x:c r="AB150" s="12" t="n">
        <x:f>IF(OR(V150="Done",V150="Cut"),"",M150-TODAY())</x:f>
        <x:v>23</x:v>
      </x:c>
    </x:row>
    <x:row r="151" ht="90" customHeight="1">
      <x:c r="A151" s="7" t="str">
        <x:v>DEMO-MOH-R1</x:v>
      </x:c>
      <x:c r="B151" s="7" t="str">
        <x:v>Participate in rehearsal one and random Q&amp;A</x:v>
      </x:c>
      <x:c r="C151" s="9" t="str">
        <x:v>Attend the full timed demo; driver runs CARLA while other members present and answer.</x:v>
      </x:c>
      <x:c r="D151" s="9" t="str">
        <x:v>Attendance and own timing/knowledge gaps recorded; backup playback practised.</x:v>
      </x:c>
      <x:c r="E151" s="7" t="str">
        <x:v>Demo</x:v>
      </x:c>
      <x:c r="F151" s="7" t="str">
        <x:v>B</x:v>
      </x:c>
      <x:c r="G151" s="7" t="str">
        <x:v>G5</x:v>
      </x:c>
      <x:c r="H151" s="7" t="str">
        <x:v>P0 must</x:v>
      </x:c>
      <x:c r="I151" s="7" t="str">
        <x:v>Mohammad</x:v>
      </x:c>
      <x:c r="J151" s="7" t="str">
        <x:f>IF(VLOOKUP(I151,'Team'!$A$2:$B$7,2,FALSE)="","",VLOOKUP(I151,'Team'!$A$2:$B$7,2,FALSE))</x:f>
        <x:v>kkaaman</x:v>
      </x:c>
      <x:c r="K151" s="7" t="str">
        <x:v>Alan</x:v>
      </x:c>
      <x:c r="L151" s="10" t="n">
        <x:v>46325</x:v>
      </x:c>
      <x:c r="M151" s="10" t="n">
        <x:v>46325</x:v>
      </x:c>
      <x:c r="N151" s="11" t="n">
        <x:v>1</x:v>
      </x:c>
      <x:c r="O151" s="7" t="str">
        <x:v>DEMO-02</x:v>
      </x:c>
      <x:c r="P151" s="7" t="str"/>
      <x:c r="Q151" s="7" t="str">
        <x:v>N</x:v>
      </x:c>
      <x:c r="R151" s="7" t="str">
        <x:v>docs/demo-runbook.md</x:v>
      </x:c>
      <x:c r="S151" s="7" t="str">
        <x:v>Rehearsal attendance</x:v>
      </x:c>
      <x:c r="T151" s="7" t="str">
        <x:v>Evidence and limitations</x:v>
      </x:c>
      <x:c r="U151" s="7" t="str">
        <x:v>workstream:b;priority:p0;category:demo</x:v>
      </x:c>
      <x:c r="V151" s="7" t="str">
        <x:v>Todo</x:v>
      </x:c>
      <x:c r="W151" s="7" t="str"/>
      <x:c r="X151" s="9" t="str">
        <x:v>Internal Sydney date. Estimate includes implementation, author checks and handoff; reviewer time is separately budgeted.</x:v>
      </x:c>
      <x:c r="Y151" s="12" t="n">
        <x:f>INT((M151-'Import Guide'!$B$3)/7)+1</x:f>
        <x:v>3</x:v>
      </x:c>
      <x:c r="Z151" s="12" t="str">
        <x:f>VLOOKUP(A151,'Dependencies'!$A$2:$G$224,7,FALSE)</x:f>
        <x:v>OK</x:v>
      </x:c>
      <x:c r="AA151" s="12" t="str">
        <x:f>IF(COUNTIFS('Milestones'!$A$2:$A$7,G151)&lt;&gt;1,"BAD GATE",IF(M151&lt;=VLOOKUP(G151,'Milestones'!$A$2:$C$7,3,FALSE),"OK","LATE"))</x:f>
        <x:v>OK</x:v>
      </x:c>
      <x:c r="AB151" s="12" t="n">
        <x:f>IF(OR(V151="Done",V151="Cut"),"",M151-TODAY())</x:f>
        <x:v>22</x:v>
      </x:c>
    </x:row>
    <x:row r="152" ht="90" customHeight="1">
      <x:c r="A152" s="7" t="str">
        <x:v>DEMO-MOH-R2</x:v>
      </x:c>
      <x:c r="B152" s="7" t="str">
        <x:v>Participate in rehearsal two and cross-module Q&amp;A</x:v>
      </x:c>
      <x:c r="C152" s="9" t="str">
        <x:v>Attend final run and answer questions outside own workstream.</x:v>
      </x:c>
      <x:c r="D152" s="9" t="str">
        <x:v>All assigned speaking and random Q&amp;A tasks completed; final checklist acknowledged.</x:v>
      </x:c>
      <x:c r="E152" s="7" t="str">
        <x:v>Demo</x:v>
      </x:c>
      <x:c r="F152" s="7" t="str">
        <x:v>B</x:v>
      </x:c>
      <x:c r="G152" s="7" t="str">
        <x:v>G5</x:v>
      </x:c>
      <x:c r="H152" s="7" t="str">
        <x:v>P0 must</x:v>
      </x:c>
      <x:c r="I152" s="7" t="str">
        <x:v>Mohammad</x:v>
      </x:c>
      <x:c r="J152" s="7" t="str">
        <x:f>IF(VLOOKUP(I152,'Team'!$A$2:$B$7,2,FALSE)="","",VLOOKUP(I152,'Team'!$A$2:$B$7,2,FALSE))</x:f>
        <x:v>kkaaman</x:v>
      </x:c>
      <x:c r="K152" s="7" t="str">
        <x:v>Alan</x:v>
      </x:c>
      <x:c r="L152" s="10" t="n">
        <x:v>46326</x:v>
      </x:c>
      <x:c r="M152" s="10" t="n">
        <x:v>46326</x:v>
      </x:c>
      <x:c r="N152" s="11" t="n">
        <x:v>1</x:v>
      </x:c>
      <x:c r="O152" s="7" t="str">
        <x:v>DEMO-03</x:v>
      </x:c>
      <x:c r="P152" s="7" t="str"/>
      <x:c r="Q152" s="7" t="str">
        <x:v>N</x:v>
      </x:c>
      <x:c r="R152" s="7" t="str">
        <x:v>docs/demo-runbook.md</x:v>
      </x:c>
      <x:c r="S152" s="7" t="str">
        <x:v>Final rehearsal attendance</x:v>
      </x:c>
      <x:c r="T152" s="7" t="str">
        <x:v>Evidence and limitations</x:v>
      </x:c>
      <x:c r="U152" s="7" t="str">
        <x:v>workstream:b;priority:p0;category:demo</x:v>
      </x:c>
      <x:c r="V152" s="7" t="str">
        <x:v>Todo</x:v>
      </x:c>
      <x:c r="W152" s="7" t="str"/>
      <x:c r="X152" s="9" t="str">
        <x:v>Internal Sydney date. Estimate includes implementation, author checks and handoff; reviewer time is separately budgeted.</x:v>
      </x:c>
      <x:c r="Y152" s="12" t="n">
        <x:f>INT((M152-'Import Guide'!$B$3)/7)+1</x:f>
        <x:v>3</x:v>
      </x:c>
      <x:c r="Z152" s="12" t="str">
        <x:f>VLOOKUP(A152,'Dependencies'!$A$2:$G$224,7,FALSE)</x:f>
        <x:v>OK</x:v>
      </x:c>
      <x:c r="AA152" s="12" t="str">
        <x:f>IF(COUNTIFS('Milestones'!$A$2:$A$7,G152)&lt;&gt;1,"BAD GATE",IF(M152&lt;=VLOOKUP(G152,'Milestones'!$A$2:$C$7,3,FALSE),"OK","LATE"))</x:f>
        <x:v>OK</x:v>
      </x:c>
      <x:c r="AB152" s="12" t="n">
        <x:f>IF(OR(V152="Done",V152="Cut"),"",M152-TODAY())</x:f>
        <x:v>23</x:v>
      </x:c>
    </x:row>
    <x:row r="153" ht="90" customHeight="1">
      <x:c r="A153" s="7" t="str">
        <x:v>REV-ABD-1</x:v>
      </x:c>
      <x:c r="B153" s="7" t="str">
        <x:v>Review Zhaolin work for Week 1</x:v>
      </x:c>
      <x:c r="C153" s="9" t="str">
        <x:v>Review partner PRs throughout the week, check interfaces and evidence; this row reserves total reviewer time.</x:v>
      </x:c>
      <x:c r="D153" s="9" t="str">
        <x:v>Focused reviews include reproducible checks and a recorded disposition; review backlog zero at gate.</x:v>
      </x:c>
      <x:c r="E153" s="7" t="str">
        <x:v>Process</x:v>
      </x:c>
      <x:c r="F153" s="7" t="str">
        <x:v>E</x:v>
      </x:c>
      <x:c r="G153" s="7" t="str">
        <x:v>G1</x:v>
      </x:c>
      <x:c r="H153" s="7" t="str">
        <x:v>P0 must</x:v>
      </x:c>
      <x:c r="I153" s="7" t="str">
        <x:v>Abdullah</x:v>
      </x:c>
      <x:c r="J153" s="7" t="str">
        <x:f>IF(VLOOKUP(I153,'Team'!$A$2:$B$7,2,FALSE)="","",VLOOKUP(I153,'Team'!$A$2:$B$7,2,FALSE))</x:f>
      </x:c>
      <x:c r="K153" s="7" t="str">
        <x:v>Zhaolin</x:v>
      </x:c>
      <x:c r="L153" s="10" t="n">
        <x:v>46307</x:v>
      </x:c>
      <x:c r="M153" s="10" t="n">
        <x:v>46313</x:v>
      </x:c>
      <x:c r="N153" s="11" t="n">
        <x:v>3</x:v>
      </x:c>
      <x:c r="O153" s="7" t="str">
        <x:v>PROC-01</x:v>
      </x:c>
      <x:c r="P153" s="7" t="str"/>
      <x:c r="Q153" s="7" t="str">
        <x:v>N</x:v>
      </x:c>
      <x:c r="R153" s="7" t="str">
        <x:v>Pull requests; docs/reviews.md</x:v>
      </x:c>
      <x:c r="S153" s="7" t="str">
        <x:v>Week 1 review links</x:v>
      </x:c>
      <x:c r="T153" s="7" t="str">
        <x:v>Scope and rationale</x:v>
      </x:c>
      <x:c r="U153" s="7" t="str">
        <x:v>workstream:e;priority:p0;category:process</x:v>
      </x:c>
      <x:c r="V153" s="7" t="str">
        <x:v>Todo</x:v>
      </x:c>
      <x:c r="W153" s="7" t="str"/>
      <x:c r="X153" s="9" t="str">
        <x:v>Time budget spread across the week, not continuous work or all on due date. Reviews occur before dependent task starts. One row totals &lt;=3 h of short sessions. Same-day handoff: complete/review PROC-01 before starting this task.</x:v>
      </x:c>
      <x:c r="Y153" s="12" t="n">
        <x:f>INT((M153-'Import Guide'!$B$3)/7)+1</x:f>
        <x:v>1</x:v>
      </x:c>
      <x:c r="Z153" s="12" t="str">
        <x:f>VLOOKUP(A153,'Dependencies'!$A$2:$G$224,7,FALSE)</x:f>
        <x:v>OK</x:v>
      </x:c>
      <x:c r="AA153" s="12" t="str">
        <x:f>IF(COUNTIFS('Milestones'!$A$2:$A$7,G153)&lt;&gt;1,"BAD GATE",IF(M153&lt;=VLOOKUP(G153,'Milestones'!$A$2:$C$7,3,FALSE),"OK","LATE"))</x:f>
        <x:v>OK</x:v>
      </x:c>
      <x:c r="AB153" s="12" t="n">
        <x:f>IF(OR(V153="Done",V153="Cut"),"",M153-TODAY())</x:f>
        <x:v>10</x:v>
      </x:c>
    </x:row>
    <x:row r="154" ht="90" customHeight="1">
      <x:c r="A154" s="7" t="str">
        <x:v>COM-ABD-1</x:v>
      </x:c>
      <x:c r="B154" s="7" t="str">
        <x:v>Attend Week 1 integration and cross-training sessions</x:v>
      </x:c>
      <x:c r="C154" s="9" t="str">
        <x:v>Budget kickoff/check-ins and a paired explanation of one unfamiliar module; distribute time through the week.</x:v>
      </x:c>
      <x:c r="D154" s="9" t="str">
        <x:v>Decisions/blockers recorded; member can explain inputs, failure mode and test of partner module.</x:v>
      </x:c>
      <x:c r="E154" s="7" t="str">
        <x:v>Process</x:v>
      </x:c>
      <x:c r="F154" s="7" t="str">
        <x:v>E</x:v>
      </x:c>
      <x:c r="G154" s="7" t="str">
        <x:v>G1</x:v>
      </x:c>
      <x:c r="H154" s="7" t="str">
        <x:v>P0 must</x:v>
      </x:c>
      <x:c r="I154" s="7" t="str">
        <x:v>Abdullah</x:v>
      </x:c>
      <x:c r="J154" s="7" t="str">
        <x:f>IF(VLOOKUP(I154,'Team'!$A$2:$B$7,2,FALSE)="","",VLOOKUP(I154,'Team'!$A$2:$B$7,2,FALSE))</x:f>
      </x:c>
      <x:c r="K154" s="7" t="str">
        <x:v>Zhaolin</x:v>
      </x:c>
      <x:c r="L154" s="10" t="n">
        <x:v>46307</x:v>
      </x:c>
      <x:c r="M154" s="10" t="n">
        <x:v>46313</x:v>
      </x:c>
      <x:c r="N154" s="11" t="n">
        <x:v>1.5</x:v>
      </x:c>
      <x:c r="O154" s="7" t="str"/>
      <x:c r="P154" s="7" t="str"/>
      <x:c r="Q154" s="7" t="str">
        <x:v>N</x:v>
      </x:c>
      <x:c r="R154" s="7" t="str">
        <x:v>docs/knowledge-matrix.md</x:v>
      </x:c>
      <x:c r="S154" s="7" t="str">
        <x:v>Week 1 cross-training record</x:v>
      </x:c>
      <x:c r="T154" s="7" t="str">
        <x:v>Scope and rationale</x:v>
      </x:c>
      <x:c r="U154" s="7" t="str">
        <x:v>workstream:e;priority:p0;category:process</x:v>
      </x:c>
      <x:c r="V154" s="7" t="str">
        <x:v>Todo</x:v>
      </x:c>
      <x:c r="W154" s="7" t="str"/>
      <x:c r="X154" s="9" t="str">
        <x:v>Time budget spread across the week, not continuous work or all on due date. Reviews occur before dependent task starts. One row totals &lt;=3 h of short sessions.</x:v>
      </x:c>
      <x:c r="Y154" s="12" t="n">
        <x:f>INT((M154-'Import Guide'!$B$3)/7)+1</x:f>
        <x:v>1</x:v>
      </x:c>
      <x:c r="Z154" s="12" t="str">
        <x:f>VLOOKUP(A154,'Dependencies'!$A$2:$G$224,7,FALSE)</x:f>
        <x:v>OK</x:v>
      </x:c>
      <x:c r="AA154" s="12" t="str">
        <x:f>IF(COUNTIFS('Milestones'!$A$2:$A$7,G154)&lt;&gt;1,"BAD GATE",IF(M154&lt;=VLOOKUP(G154,'Milestones'!$A$2:$C$7,3,FALSE),"OK","LATE"))</x:f>
        <x:v>OK</x:v>
      </x:c>
      <x:c r="AB154" s="12" t="n">
        <x:f>IF(OR(V154="Done",V154="Cut"),"",M154-TODAY())</x:f>
        <x:v>10</x:v>
      </x:c>
    </x:row>
    <x:row r="155" ht="90" customHeight="1">
      <x:c r="A155" s="7" t="str">
        <x:v>IND-ABD-AI1</x:v>
      </x:c>
      <x:c r="B155" s="7" t="str">
        <x:v>Check Week 1 AI Journal and commit disclosures</x:v>
      </x:c>
      <x:c r="C155" s="9" t="str">
        <x:v>Privately reconcile significant VSCode AI Journal entries with commits and reviews.</x:v>
      </x:c>
      <x:c r="D155" s="9" t="str">
        <x:v>All significant interactions recorded; AI-assisted footer names actual reviewer; journal content stays private.</x:v>
      </x:c>
      <x:c r="E155" s="7" t="str">
        <x:v>Individual</x:v>
      </x:c>
      <x:c r="F155" s="7" t="str">
        <x:v>E</x:v>
      </x:c>
      <x:c r="G155" s="7" t="str">
        <x:v>G1</x:v>
      </x:c>
      <x:c r="H155" s="7" t="str">
        <x:v>P0 must</x:v>
      </x:c>
      <x:c r="I155" s="7" t="str">
        <x:v>Abdullah</x:v>
      </x:c>
      <x:c r="J155" s="7" t="str">
        <x:f>IF(VLOOKUP(I155,'Team'!$A$2:$B$7,2,FALSE)="","",VLOOKUP(I155,'Team'!$A$2:$B$7,2,FALSE))</x:f>
      </x:c>
      <x:c r="K155" s="7" t="str">
        <x:v>Zhaolin</x:v>
      </x:c>
      <x:c r="L155" s="10" t="n">
        <x:v>46313</x:v>
      </x:c>
      <x:c r="M155" s="10" t="n">
        <x:v>46313</x:v>
      </x:c>
      <x:c r="N155" s="11" t="n">
        <x:v>0.5</x:v>
      </x:c>
      <x:c r="O155" s="7" t="str"/>
      <x:c r="P155" s="7" t="str"/>
      <x:c r="Q155" s="7" t="str">
        <x:v>N</x:v>
      </x:c>
      <x:c r="R155" s="7" t="str">
        <x:v>Private AI Journal; commit history</x:v>
      </x:c>
      <x:c r="S155" s="7" t="str">
        <x:v>Private completion confirmation only</x:v>
      </x:c>
      <x:c r="T155" s="7" t="str">
        <x:v>Individual (private)</x:v>
      </x:c>
      <x:c r="U155" s="7" t="str">
        <x:v>workstream:e;priority:p0;category:individual</x:v>
      </x:c>
      <x:c r="V155" s="7" t="str">
        <x:v>Todo</x:v>
      </x:c>
      <x:c r="W155" s="7" t="str"/>
      <x:c r="X155" s="9" t="str">
        <x:v>Internal readiness date only. Actual Canvas/Week 13/SparkPLUS deadlines are unconfirmed. Public task stores no private reflection or assessment content.</x:v>
      </x:c>
      <x:c r="Y155" s="12" t="n">
        <x:f>INT((M155-'Import Guide'!$B$3)/7)+1</x:f>
        <x:v>1</x:v>
      </x:c>
      <x:c r="Z155" s="12" t="str">
        <x:f>VLOOKUP(A155,'Dependencies'!$A$2:$G$224,7,FALSE)</x:f>
        <x:v>OK</x:v>
      </x:c>
      <x:c r="AA155" s="12" t="str">
        <x:f>IF(COUNTIFS('Milestones'!$A$2:$A$7,G155)&lt;&gt;1,"BAD GATE",IF(M155&lt;=VLOOKUP(G155,'Milestones'!$A$2:$C$7,3,FALSE),"OK","LATE"))</x:f>
        <x:v>OK</x:v>
      </x:c>
      <x:c r="AB155" s="12" t="n">
        <x:f>IF(OR(V155="Done",V155="Cut"),"",M155-TODAY())</x:f>
        <x:v>10</x:v>
      </x:c>
    </x:row>
    <x:row r="156" ht="90" customHeight="1">
      <x:c r="A156" s="7" t="str">
        <x:v>REV-ABD-2</x:v>
      </x:c>
      <x:c r="B156" s="7" t="str">
        <x:v>Review Zhaolin work for Week 2</x:v>
      </x:c>
      <x:c r="C156" s="9" t="str">
        <x:v>Review partner PRs throughout the week, check interfaces and evidence; this row reserves total reviewer time.</x:v>
      </x:c>
      <x:c r="D156" s="9" t="str">
        <x:v>Focused reviews include reproducible checks and a recorded disposition; review backlog zero at gate.</x:v>
      </x:c>
      <x:c r="E156" s="7" t="str">
        <x:v>Process</x:v>
      </x:c>
      <x:c r="F156" s="7" t="str">
        <x:v>E</x:v>
      </x:c>
      <x:c r="G156" s="7" t="str">
        <x:v>G3</x:v>
      </x:c>
      <x:c r="H156" s="7" t="str">
        <x:v>P0 must</x:v>
      </x:c>
      <x:c r="I156" s="7" t="str">
        <x:v>Abdullah</x:v>
      </x:c>
      <x:c r="J156" s="7" t="str">
        <x:f>IF(VLOOKUP(I156,'Team'!$A$2:$B$7,2,FALSE)="","",VLOOKUP(I156,'Team'!$A$2:$B$7,2,FALSE))</x:f>
      </x:c>
      <x:c r="K156" s="7" t="str">
        <x:v>Zhaolin</x:v>
      </x:c>
      <x:c r="L156" s="10" t="n">
        <x:v>46314</x:v>
      </x:c>
      <x:c r="M156" s="10" t="n">
        <x:v>46320</x:v>
      </x:c>
      <x:c r="N156" s="11" t="n">
        <x:v>3</x:v>
      </x:c>
      <x:c r="O156" s="7" t="str">
        <x:v>PROC-01</x:v>
      </x:c>
      <x:c r="P156" s="7" t="str"/>
      <x:c r="Q156" s="7" t="str">
        <x:v>N</x:v>
      </x:c>
      <x:c r="R156" s="7" t="str">
        <x:v>Pull requests; docs/reviews.md</x:v>
      </x:c>
      <x:c r="S156" s="7" t="str">
        <x:v>Week 2 review links</x:v>
      </x:c>
      <x:c r="T156" s="7" t="str">
        <x:v>Scope and rationale</x:v>
      </x:c>
      <x:c r="U156" s="7" t="str">
        <x:v>workstream:e;priority:p0;category:process</x:v>
      </x:c>
      <x:c r="V156" s="7" t="str">
        <x:v>Todo</x:v>
      </x:c>
      <x:c r="W156" s="7" t="str"/>
      <x:c r="X156" s="9" t="str">
        <x:v>Time budget spread across the week, not continuous work or all on due date. Reviews occur before dependent task starts. One row totals &lt;=3 h of short sessions.</x:v>
      </x:c>
      <x:c r="Y156" s="12" t="n">
        <x:f>INT((M156-'Import Guide'!$B$3)/7)+1</x:f>
        <x:v>2</x:v>
      </x:c>
      <x:c r="Z156" s="12" t="str">
        <x:f>VLOOKUP(A156,'Dependencies'!$A$2:$G$224,7,FALSE)</x:f>
        <x:v>OK</x:v>
      </x:c>
      <x:c r="AA156" s="12" t="str">
        <x:f>IF(COUNTIFS('Milestones'!$A$2:$A$7,G156)&lt;&gt;1,"BAD GATE",IF(M156&lt;=VLOOKUP(G156,'Milestones'!$A$2:$C$7,3,FALSE),"OK","LATE"))</x:f>
        <x:v>OK</x:v>
      </x:c>
      <x:c r="AB156" s="12" t="n">
        <x:f>IF(OR(V156="Done",V156="Cut"),"",M156-TODAY())</x:f>
        <x:v>17</x:v>
      </x:c>
    </x:row>
    <x:row r="157" ht="90" customHeight="1">
      <x:c r="A157" s="7" t="str">
        <x:v>COM-ABD-2</x:v>
      </x:c>
      <x:c r="B157" s="7" t="str">
        <x:v>Attend Week 2 integration and cross-training sessions</x:v>
      </x:c>
      <x:c r="C157" s="9" t="str">
        <x:v>Budget kickoff/check-ins and a paired explanation of one unfamiliar module; distribute time through the week.</x:v>
      </x:c>
      <x:c r="D157" s="9" t="str">
        <x:v>Decisions/blockers recorded; member can explain inputs, failure mode and test of partner module.</x:v>
      </x:c>
      <x:c r="E157" s="7" t="str">
        <x:v>Process</x:v>
      </x:c>
      <x:c r="F157" s="7" t="str">
        <x:v>E</x:v>
      </x:c>
      <x:c r="G157" s="7" t="str">
        <x:v>G3</x:v>
      </x:c>
      <x:c r="H157" s="7" t="str">
        <x:v>P0 must</x:v>
      </x:c>
      <x:c r="I157" s="7" t="str">
        <x:v>Abdullah</x:v>
      </x:c>
      <x:c r="J157" s="7" t="str">
        <x:f>IF(VLOOKUP(I157,'Team'!$A$2:$B$7,2,FALSE)="","",VLOOKUP(I157,'Team'!$A$2:$B$7,2,FALSE))</x:f>
      </x:c>
      <x:c r="K157" s="7" t="str">
        <x:v>Zhaolin</x:v>
      </x:c>
      <x:c r="L157" s="10" t="n">
        <x:v>46314</x:v>
      </x:c>
      <x:c r="M157" s="10" t="n">
        <x:v>46320</x:v>
      </x:c>
      <x:c r="N157" s="11" t="n">
        <x:v>1.5</x:v>
      </x:c>
      <x:c r="O157" s="7" t="str"/>
      <x:c r="P157" s="7" t="str"/>
      <x:c r="Q157" s="7" t="str">
        <x:v>N</x:v>
      </x:c>
      <x:c r="R157" s="7" t="str">
        <x:v>docs/knowledge-matrix.md</x:v>
      </x:c>
      <x:c r="S157" s="7" t="str">
        <x:v>Week 2 cross-training record</x:v>
      </x:c>
      <x:c r="T157" s="7" t="str">
        <x:v>Scope and rationale</x:v>
      </x:c>
      <x:c r="U157" s="7" t="str">
        <x:v>workstream:e;priority:p0;category:process</x:v>
      </x:c>
      <x:c r="V157" s="7" t="str">
        <x:v>Todo</x:v>
      </x:c>
      <x:c r="W157" s="7" t="str"/>
      <x:c r="X157" s="9" t="str">
        <x:v>Time budget spread across the week, not continuous work or all on due date. Reviews occur before dependent task starts. One row totals &lt;=3 h of short sessions.</x:v>
      </x:c>
      <x:c r="Y157" s="12" t="n">
        <x:f>INT((M157-'Import Guide'!$B$3)/7)+1</x:f>
        <x:v>2</x:v>
      </x:c>
      <x:c r="Z157" s="12" t="str">
        <x:f>VLOOKUP(A157,'Dependencies'!$A$2:$G$224,7,FALSE)</x:f>
        <x:v>OK</x:v>
      </x:c>
      <x:c r="AA157" s="12" t="str">
        <x:f>IF(COUNTIFS('Milestones'!$A$2:$A$7,G157)&lt;&gt;1,"BAD GATE",IF(M157&lt;=VLOOKUP(G157,'Milestones'!$A$2:$C$7,3,FALSE),"OK","LATE"))</x:f>
        <x:v>OK</x:v>
      </x:c>
      <x:c r="AB157" s="12" t="n">
        <x:f>IF(OR(V157="Done",V157="Cut"),"",M157-TODAY())</x:f>
        <x:v>17</x:v>
      </x:c>
    </x:row>
    <x:row r="158" ht="90" customHeight="1">
      <x:c r="A158" s="7" t="str">
        <x:v>IND-ABD-AI2</x:v>
      </x:c>
      <x:c r="B158" s="7" t="str">
        <x:v>Check Week 2 AI Journal and commit disclosures</x:v>
      </x:c>
      <x:c r="C158" s="9" t="str">
        <x:v>Privately reconcile significant VSCode AI Journal entries with commits and reviews.</x:v>
      </x:c>
      <x:c r="D158" s="9" t="str">
        <x:v>All significant interactions recorded; AI-assisted footer names actual reviewer; journal content stays private.</x:v>
      </x:c>
      <x:c r="E158" s="7" t="str">
        <x:v>Individual</x:v>
      </x:c>
      <x:c r="F158" s="7" t="str">
        <x:v>E</x:v>
      </x:c>
      <x:c r="G158" s="7" t="str">
        <x:v>G3</x:v>
      </x:c>
      <x:c r="H158" s="7" t="str">
        <x:v>P0 must</x:v>
      </x:c>
      <x:c r="I158" s="7" t="str">
        <x:v>Abdullah</x:v>
      </x:c>
      <x:c r="J158" s="7" t="str">
        <x:f>IF(VLOOKUP(I158,'Team'!$A$2:$B$7,2,FALSE)="","",VLOOKUP(I158,'Team'!$A$2:$B$7,2,FALSE))</x:f>
      </x:c>
      <x:c r="K158" s="7" t="str">
        <x:v>Zhaolin</x:v>
      </x:c>
      <x:c r="L158" s="10" t="n">
        <x:v>46320</x:v>
      </x:c>
      <x:c r="M158" s="10" t="n">
        <x:v>46320</x:v>
      </x:c>
      <x:c r="N158" s="11" t="n">
        <x:v>0.5</x:v>
      </x:c>
      <x:c r="O158" s="7" t="str"/>
      <x:c r="P158" s="7" t="str"/>
      <x:c r="Q158" s="7" t="str">
        <x:v>N</x:v>
      </x:c>
      <x:c r="R158" s="7" t="str">
        <x:v>Private AI Journal; commit history</x:v>
      </x:c>
      <x:c r="S158" s="7" t="str">
        <x:v>Private completion confirmation only</x:v>
      </x:c>
      <x:c r="T158" s="7" t="str">
        <x:v>Individual (private)</x:v>
      </x:c>
      <x:c r="U158" s="7" t="str">
        <x:v>workstream:e;priority:p0;category:individual</x:v>
      </x:c>
      <x:c r="V158" s="7" t="str">
        <x:v>Todo</x:v>
      </x:c>
      <x:c r="W158" s="7" t="str"/>
      <x:c r="X158" s="9" t="str">
        <x:v>Internal readiness date only. Actual Canvas/Week 13/SparkPLUS deadlines are unconfirmed. Public task stores no private reflection or assessment content.</x:v>
      </x:c>
      <x:c r="Y158" s="12" t="n">
        <x:f>INT((M158-'Import Guide'!$B$3)/7)+1</x:f>
        <x:v>2</x:v>
      </x:c>
      <x:c r="Z158" s="12" t="str">
        <x:f>VLOOKUP(A158,'Dependencies'!$A$2:$G$224,7,FALSE)</x:f>
        <x:v>OK</x:v>
      </x:c>
      <x:c r="AA158" s="12" t="str">
        <x:f>IF(COUNTIFS('Milestones'!$A$2:$A$7,G158)&lt;&gt;1,"BAD GATE",IF(M158&lt;=VLOOKUP(G158,'Milestones'!$A$2:$C$7,3,FALSE),"OK","LATE"))</x:f>
        <x:v>OK</x:v>
      </x:c>
      <x:c r="AB158" s="12" t="n">
        <x:f>IF(OR(V158="Done",V158="Cut"),"",M158-TODAY())</x:f>
        <x:v>17</x:v>
      </x:c>
    </x:row>
    <x:row r="159" ht="90" customHeight="1">
      <x:c r="A159" s="7" t="str">
        <x:v>REV-ABD-3</x:v>
      </x:c>
      <x:c r="B159" s="7" t="str">
        <x:v>Review Zhaolin work for Week 3</x:v>
      </x:c>
      <x:c r="C159" s="9" t="str">
        <x:v>Review partner PRs throughout the week, check interfaces and evidence; this row reserves total reviewer time.</x:v>
      </x:c>
      <x:c r="D159" s="9" t="str">
        <x:v>Focused reviews include reproducible checks and a recorded disposition; review backlog zero at gate.</x:v>
      </x:c>
      <x:c r="E159" s="7" t="str">
        <x:v>Process</x:v>
      </x:c>
      <x:c r="F159" s="7" t="str">
        <x:v>E</x:v>
      </x:c>
      <x:c r="G159" s="7" t="str">
        <x:v>G5</x:v>
      </x:c>
      <x:c r="H159" s="7" t="str">
        <x:v>P0 must</x:v>
      </x:c>
      <x:c r="I159" s="7" t="str">
        <x:v>Abdullah</x:v>
      </x:c>
      <x:c r="J159" s="7" t="str">
        <x:f>IF(VLOOKUP(I159,'Team'!$A$2:$B$7,2,FALSE)="","",VLOOKUP(I159,'Team'!$A$2:$B$7,2,FALSE))</x:f>
      </x:c>
      <x:c r="K159" s="7" t="str">
        <x:v>Zhaolin</x:v>
      </x:c>
      <x:c r="L159" s="10" t="n">
        <x:v>46321</x:v>
      </x:c>
      <x:c r="M159" s="10" t="n">
        <x:v>46326</x:v>
      </x:c>
      <x:c r="N159" s="11" t="n">
        <x:v>3</x:v>
      </x:c>
      <x:c r="O159" s="7" t="str">
        <x:v>PROC-01</x:v>
      </x:c>
      <x:c r="P159" s="7" t="str"/>
      <x:c r="Q159" s="7" t="str">
        <x:v>N</x:v>
      </x:c>
      <x:c r="R159" s="7" t="str">
        <x:v>Pull requests; docs/reviews.md</x:v>
      </x:c>
      <x:c r="S159" s="7" t="str">
        <x:v>Week 3 review links</x:v>
      </x:c>
      <x:c r="T159" s="7" t="str">
        <x:v>Scope and rationale</x:v>
      </x:c>
      <x:c r="U159" s="7" t="str">
        <x:v>workstream:e;priority:p0;category:process</x:v>
      </x:c>
      <x:c r="V159" s="7" t="str">
        <x:v>Todo</x:v>
      </x:c>
      <x:c r="W159" s="7" t="str"/>
      <x:c r="X159" s="9" t="str">
        <x:v>Time budget spread across the week, not continuous work or all on due date. Reviews occur before dependent task starts. One row totals &lt;=3 h of short sessions.</x:v>
      </x:c>
      <x:c r="Y159" s="12" t="n">
        <x:f>INT((M159-'Import Guide'!$B$3)/7)+1</x:f>
        <x:v>3</x:v>
      </x:c>
      <x:c r="Z159" s="12" t="str">
        <x:f>VLOOKUP(A159,'Dependencies'!$A$2:$G$224,7,FALSE)</x:f>
        <x:v>OK</x:v>
      </x:c>
      <x:c r="AA159" s="12" t="str">
        <x:f>IF(COUNTIFS('Milestones'!$A$2:$A$7,G159)&lt;&gt;1,"BAD GATE",IF(M159&lt;=VLOOKUP(G159,'Milestones'!$A$2:$C$7,3,FALSE),"OK","LATE"))</x:f>
        <x:v>OK</x:v>
      </x:c>
      <x:c r="AB159" s="12" t="n">
        <x:f>IF(OR(V159="Done",V159="Cut"),"",M159-TODAY())</x:f>
        <x:v>23</x:v>
      </x:c>
    </x:row>
    <x:row r="160" ht="90" customHeight="1">
      <x:c r="A160" s="7" t="str">
        <x:v>COM-ABD-3</x:v>
      </x:c>
      <x:c r="B160" s="7" t="str">
        <x:v>Attend Week 3 integration and cross-training sessions</x:v>
      </x:c>
      <x:c r="C160" s="9" t="str">
        <x:v>Budget kickoff/check-ins and a paired explanation of one unfamiliar module; distribute time through the week.</x:v>
      </x:c>
      <x:c r="D160" s="9" t="str">
        <x:v>Decisions/blockers recorded; member can explain inputs, failure mode and test of partner module.</x:v>
      </x:c>
      <x:c r="E160" s="7" t="str">
        <x:v>Process</x:v>
      </x:c>
      <x:c r="F160" s="7" t="str">
        <x:v>E</x:v>
      </x:c>
      <x:c r="G160" s="7" t="str">
        <x:v>G5</x:v>
      </x:c>
      <x:c r="H160" s="7" t="str">
        <x:v>P0 must</x:v>
      </x:c>
      <x:c r="I160" s="7" t="str">
        <x:v>Abdullah</x:v>
      </x:c>
      <x:c r="J160" s="7" t="str">
        <x:f>IF(VLOOKUP(I160,'Team'!$A$2:$B$7,2,FALSE)="","",VLOOKUP(I160,'Team'!$A$2:$B$7,2,FALSE))</x:f>
      </x:c>
      <x:c r="K160" s="7" t="str">
        <x:v>Zhaolin</x:v>
      </x:c>
      <x:c r="L160" s="10" t="n">
        <x:v>46321</x:v>
      </x:c>
      <x:c r="M160" s="10" t="n">
        <x:v>46326</x:v>
      </x:c>
      <x:c r="N160" s="11" t="n">
        <x:v>1.5</x:v>
      </x:c>
      <x:c r="O160" s="7" t="str"/>
      <x:c r="P160" s="7" t="str"/>
      <x:c r="Q160" s="7" t="str">
        <x:v>N</x:v>
      </x:c>
      <x:c r="R160" s="7" t="str">
        <x:v>docs/knowledge-matrix.md</x:v>
      </x:c>
      <x:c r="S160" s="7" t="str">
        <x:v>Week 3 cross-training record</x:v>
      </x:c>
      <x:c r="T160" s="7" t="str">
        <x:v>Scope and rationale</x:v>
      </x:c>
      <x:c r="U160" s="7" t="str">
        <x:v>workstream:e;priority:p0;category:process</x:v>
      </x:c>
      <x:c r="V160" s="7" t="str">
        <x:v>Todo</x:v>
      </x:c>
      <x:c r="W160" s="7" t="str"/>
      <x:c r="X160" s="9" t="str">
        <x:v>Time budget spread across the week, not continuous work or all on due date. Reviews occur before dependent task starts. One row totals &lt;=3 h of short sessions.</x:v>
      </x:c>
      <x:c r="Y160" s="12" t="n">
        <x:f>INT((M160-'Import Guide'!$B$3)/7)+1</x:f>
        <x:v>3</x:v>
      </x:c>
      <x:c r="Z160" s="12" t="str">
        <x:f>VLOOKUP(A160,'Dependencies'!$A$2:$G$224,7,FALSE)</x:f>
        <x:v>OK</x:v>
      </x:c>
      <x:c r="AA160" s="12" t="str">
        <x:f>IF(COUNTIFS('Milestones'!$A$2:$A$7,G160)&lt;&gt;1,"BAD GATE",IF(M160&lt;=VLOOKUP(G160,'Milestones'!$A$2:$C$7,3,FALSE),"OK","LATE"))</x:f>
        <x:v>OK</x:v>
      </x:c>
      <x:c r="AB160" s="12" t="n">
        <x:f>IF(OR(V160="Done",V160="Cut"),"",M160-TODAY())</x:f>
        <x:v>23</x:v>
      </x:c>
    </x:row>
    <x:row r="161" ht="90" customHeight="1">
      <x:c r="A161" s="7" t="str">
        <x:v>IND-ABD-AI3</x:v>
      </x:c>
      <x:c r="B161" s="7" t="str">
        <x:v>Check Week 3 AI Journal and commit disclosures</x:v>
      </x:c>
      <x:c r="C161" s="9" t="str">
        <x:v>Privately reconcile significant VSCode AI Journal entries with commits and reviews.</x:v>
      </x:c>
      <x:c r="D161" s="9" t="str">
        <x:v>All significant interactions recorded; AI-assisted footer names actual reviewer; journal content stays private.</x:v>
      </x:c>
      <x:c r="E161" s="7" t="str">
        <x:v>Individual</x:v>
      </x:c>
      <x:c r="F161" s="7" t="str">
        <x:v>E</x:v>
      </x:c>
      <x:c r="G161" s="7" t="str">
        <x:v>G5</x:v>
      </x:c>
      <x:c r="H161" s="7" t="str">
        <x:v>P0 must</x:v>
      </x:c>
      <x:c r="I161" s="7" t="str">
        <x:v>Abdullah</x:v>
      </x:c>
      <x:c r="J161" s="7" t="str">
        <x:f>IF(VLOOKUP(I161,'Team'!$A$2:$B$7,2,FALSE)="","",VLOOKUP(I161,'Team'!$A$2:$B$7,2,FALSE))</x:f>
      </x:c>
      <x:c r="K161" s="7" t="str">
        <x:v>Zhaolin</x:v>
      </x:c>
      <x:c r="L161" s="10" t="n">
        <x:v>46326</x:v>
      </x:c>
      <x:c r="M161" s="10" t="n">
        <x:v>46326</x:v>
      </x:c>
      <x:c r="N161" s="11" t="n">
        <x:v>0.5</x:v>
      </x:c>
      <x:c r="O161" s="7" t="str"/>
      <x:c r="P161" s="7" t="str"/>
      <x:c r="Q161" s="7" t="str">
        <x:v>N</x:v>
      </x:c>
      <x:c r="R161" s="7" t="str">
        <x:v>Private AI Journal; commit history</x:v>
      </x:c>
      <x:c r="S161" s="7" t="str">
        <x:v>Private completion confirmation only</x:v>
      </x:c>
      <x:c r="T161" s="7" t="str">
        <x:v>Individual (private)</x:v>
      </x:c>
      <x:c r="U161" s="7" t="str">
        <x:v>workstream:e;priority:p0;category:individual</x:v>
      </x:c>
      <x:c r="V161" s="7" t="str">
        <x:v>Todo</x:v>
      </x:c>
      <x:c r="W161" s="7" t="str"/>
      <x:c r="X161" s="9" t="str">
        <x:v>Internal readiness date only. Actual Canvas/Week 13/SparkPLUS deadlines are unconfirmed. Public task stores no private reflection or assessment content.</x:v>
      </x:c>
      <x:c r="Y161" s="12" t="n">
        <x:f>INT((M161-'Import Guide'!$B$3)/7)+1</x:f>
        <x:v>3</x:v>
      </x:c>
      <x:c r="Z161" s="12" t="str">
        <x:f>VLOOKUP(A161,'Dependencies'!$A$2:$G$224,7,FALSE)</x:f>
        <x:v>OK</x:v>
      </x:c>
      <x:c r="AA161" s="12" t="str">
        <x:f>IF(COUNTIFS('Milestones'!$A$2:$A$7,G161)&lt;&gt;1,"BAD GATE",IF(M161&lt;=VLOOKUP(G161,'Milestones'!$A$2:$C$7,3,FALSE),"OK","LATE"))</x:f>
        <x:v>OK</x:v>
      </x:c>
      <x:c r="AB161" s="12" t="n">
        <x:f>IF(OR(V161="Done",V161="Cut"),"",M161-TODAY())</x:f>
        <x:v>23</x:v>
      </x:c>
    </x:row>
    <x:row r="162" ht="90" customHeight="1">
      <x:c r="A162" s="7" t="str">
        <x:v>IND-ABD-REF</x:v>
      </x:c>
      <x:c r="B162" s="7" t="str">
        <x:v>Draft and privately check individual self-reflection</x:v>
      </x:c>
      <x:c r="C162" s="9" t="str">
        <x:v>Address contribution links, challenge/learning and specific AI Journal entries; this is readiness, not assumed submission.</x:v>
      </x:c>
      <x:c r="D162" s="9" t="str">
        <x:v>At most 1 page and 400 words; private file ready for actual Canvas deadline.</x:v>
      </x:c>
      <x:c r="E162" s="7" t="str">
        <x:v>Individual</x:v>
      </x:c>
      <x:c r="F162" s="7" t="str">
        <x:v>E</x:v>
      </x:c>
      <x:c r="G162" s="7" t="str">
        <x:v>G5</x:v>
      </x:c>
      <x:c r="H162" s="7" t="str">
        <x:v>P0 must</x:v>
      </x:c>
      <x:c r="I162" s="7" t="str">
        <x:v>Abdullah</x:v>
      </x:c>
      <x:c r="J162" s="7" t="str">
        <x:f>IF(VLOOKUP(I162,'Team'!$A$2:$B$7,2,FALSE)="","",VLOOKUP(I162,'Team'!$A$2:$B$7,2,FALSE))</x:f>
      </x:c>
      <x:c r="K162" s="7" t="str">
        <x:v>Zhaolin</x:v>
      </x:c>
      <x:c r="L162" s="10" t="n">
        <x:v>46325</x:v>
      </x:c>
      <x:c r="M162" s="10" t="n">
        <x:v>46325</x:v>
      </x:c>
      <x:c r="N162" s="11" t="n">
        <x:v>1</x:v>
      </x:c>
      <x:c r="O162" s="7" t="str"/>
      <x:c r="P162" s="7" t="str"/>
      <x:c r="Q162" s="7" t="str">
        <x:v>N</x:v>
      </x:c>
      <x:c r="R162" s="7" t="str">
        <x:v>Private self-reflection</x:v>
      </x:c>
      <x:c r="S162" s="7" t="str">
        <x:v>Private completion confirmation only</x:v>
      </x:c>
      <x:c r="T162" s="7" t="str">
        <x:v>Individual (private)</x:v>
      </x:c>
      <x:c r="U162" s="7" t="str">
        <x:v>workstream:e;priority:p0;category:individual</x:v>
      </x:c>
      <x:c r="V162" s="7" t="str">
        <x:v>Todo</x:v>
      </x:c>
      <x:c r="W162" s="7" t="str"/>
      <x:c r="X162" s="9" t="str">
        <x:v>Internal readiness date only. Actual Canvas/Week 13/SparkPLUS deadlines are unconfirmed. Public task stores no private reflection or assessment content.</x:v>
      </x:c>
      <x:c r="Y162" s="12" t="n">
        <x:f>INT((M162-'Import Guide'!$B$3)/7)+1</x:f>
        <x:v>3</x:v>
      </x:c>
      <x:c r="Z162" s="12" t="str">
        <x:f>VLOOKUP(A162,'Dependencies'!$A$2:$G$224,7,FALSE)</x:f>
        <x:v>OK</x:v>
      </x:c>
      <x:c r="AA162" s="12" t="str">
        <x:f>IF(COUNTIFS('Milestones'!$A$2:$A$7,G162)&lt;&gt;1,"BAD GATE",IF(M162&lt;=VLOOKUP(G162,'Milestones'!$A$2:$C$7,3,FALSE),"OK","LATE"))</x:f>
        <x:v>OK</x:v>
      </x:c>
      <x:c r="AB162" s="12" t="n">
        <x:f>IF(OR(V162="Done",V162="Cut"),"",M162-TODAY())</x:f>
        <x:v>22</x:v>
      </x:c>
    </x:row>
    <x:row r="163" ht="90" customHeight="1">
      <x:c r="A163" s="7" t="str">
        <x:v>IND-ABD-PEER</x:v>
      </x:c>
      <x:c r="B163" s="7" t="str">
        <x:v>Prepare peer-reflection forms and verify lab attendance</x:v>
      </x:c>
      <x:c r="C163" s="9" t="str">
        <x:v>Arrange attendance and two-other-team forms for actual Week 13 lab; completion occurs at the lab.</x:v>
      </x:c>
      <x:c r="D163" s="9" t="str">
        <x:v>Lab slot and at least two-team peer-reflection obligation recorded privately; actual lab task remains pending.</x:v>
      </x:c>
      <x:c r="E163" s="7" t="str">
        <x:v>Individual</x:v>
      </x:c>
      <x:c r="F163" s="7" t="str">
        <x:v>E</x:v>
      </x:c>
      <x:c r="G163" s="7" t="str">
        <x:v>G5</x:v>
      </x:c>
      <x:c r="H163" s="7" t="str">
        <x:v>P0 must</x:v>
      </x:c>
      <x:c r="I163" s="7" t="str">
        <x:v>Abdullah</x:v>
      </x:c>
      <x:c r="J163" s="7" t="str">
        <x:f>IF(VLOOKUP(I163,'Team'!$A$2:$B$7,2,FALSE)="","",VLOOKUP(I163,'Team'!$A$2:$B$7,2,FALSE))</x:f>
      </x:c>
      <x:c r="K163" s="7" t="str">
        <x:v>Zhaolin</x:v>
      </x:c>
      <x:c r="L163" s="10" t="n">
        <x:v>46326</x:v>
      </x:c>
      <x:c r="M163" s="10" t="n">
        <x:v>46326</x:v>
      </x:c>
      <x:c r="N163" s="11" t="n">
        <x:v>0.25</x:v>
      </x:c>
      <x:c r="O163" s="7" t="str"/>
      <x:c r="P163" s="7" t="str"/>
      <x:c r="Q163" s="7" t="str">
        <x:v>N</x:v>
      </x:c>
      <x:c r="R163" s="7" t="str">
        <x:v>Private Canvas checklist</x:v>
      </x:c>
      <x:c r="S163" s="7" t="str">
        <x:v>Prepared confirmation only</x:v>
      </x:c>
      <x:c r="T163" s="7" t="str">
        <x:v>Individual (private)</x:v>
      </x:c>
      <x:c r="U163" s="7" t="str">
        <x:v>workstream:e;priority:p0;category:individual</x:v>
      </x:c>
      <x:c r="V163" s="7" t="str">
        <x:v>Todo</x:v>
      </x:c>
      <x:c r="W163" s="7" t="str"/>
      <x:c r="X163" s="9" t="str">
        <x:v>Internal readiness date only. Actual Canvas/Week 13/SparkPLUS deadlines are unconfirmed. Public task stores no private reflection or assessment content.</x:v>
      </x:c>
      <x:c r="Y163" s="12" t="n">
        <x:f>INT((M163-'Import Guide'!$B$3)/7)+1</x:f>
        <x:v>3</x:v>
      </x:c>
      <x:c r="Z163" s="12" t="str">
        <x:f>VLOOKUP(A163,'Dependencies'!$A$2:$G$224,7,FALSE)</x:f>
        <x:v>OK</x:v>
      </x:c>
      <x:c r="AA163" s="12" t="str">
        <x:f>IF(COUNTIFS('Milestones'!$A$2:$A$7,G163)&lt;&gt;1,"BAD GATE",IF(M163&lt;=VLOOKUP(G163,'Milestones'!$A$2:$C$7,3,FALSE),"OK","LATE"))</x:f>
        <x:v>OK</x:v>
      </x:c>
      <x:c r="AB163" s="12" t="n">
        <x:f>IF(OR(V163="Done",V163="Cut"),"",M163-TODAY())</x:f>
        <x:v>23</x:v>
      </x:c>
    </x:row>
    <x:row r="164" ht="90" customHeight="1">
      <x:c r="A164" s="7" t="str">
        <x:v>IND-ABD-SPARK</x:v>
      </x:c>
      <x:c r="B164" s="7" t="str">
        <x:v>Verify SparkPLUS deadline and personal submission reminder</x:v>
      </x:c>
      <x:c r="C164" s="9" t="str">
        <x:v>Check Canvas portal deadline and availability; schedule own reminder; never submit another member's assessment.</x:v>
      </x:c>
      <x:c r="D164" s="9" t="str">
        <x:v>Actual deadline copied privately and reminder set by member; readiness is distinct from completed assessment.</x:v>
      </x:c>
      <x:c r="E164" s="7" t="str">
        <x:v>Individual</x:v>
      </x:c>
      <x:c r="F164" s="7" t="str">
        <x:v>E</x:v>
      </x:c>
      <x:c r="G164" s="7" t="str">
        <x:v>G5</x:v>
      </x:c>
      <x:c r="H164" s="7" t="str">
        <x:v>P0 must</x:v>
      </x:c>
      <x:c r="I164" s="7" t="str">
        <x:v>Abdullah</x:v>
      </x:c>
      <x:c r="J164" s="7" t="str">
        <x:f>IF(VLOOKUP(I164,'Team'!$A$2:$B$7,2,FALSE)="","",VLOOKUP(I164,'Team'!$A$2:$B$7,2,FALSE))</x:f>
      </x:c>
      <x:c r="K164" s="7" t="str">
        <x:v>Zhaolin</x:v>
      </x:c>
      <x:c r="L164" s="10" t="n">
        <x:v>46326</x:v>
      </x:c>
      <x:c r="M164" s="10" t="n">
        <x:v>46326</x:v>
      </x:c>
      <x:c r="N164" s="11" t="n">
        <x:v>0.25</x:v>
      </x:c>
      <x:c r="O164" s="7" t="str"/>
      <x:c r="P164" s="7" t="str"/>
      <x:c r="Q164" s="7" t="str">
        <x:v>N</x:v>
      </x:c>
      <x:c r="R164" s="7" t="str">
        <x:v>Private Canvas checklist</x:v>
      </x:c>
      <x:c r="S164" s="7" t="str">
        <x:v>Deadline verified confirmation only</x:v>
      </x:c>
      <x:c r="T164" s="7" t="str">
        <x:v>Individual (private)</x:v>
      </x:c>
      <x:c r="U164" s="7" t="str">
        <x:v>workstream:e;priority:p0;category:individual</x:v>
      </x:c>
      <x:c r="V164" s="7" t="str">
        <x:v>Todo</x:v>
      </x:c>
      <x:c r="W164" s="7" t="str"/>
      <x:c r="X164" s="9" t="str">
        <x:v>Internal readiness date only. Actual Canvas/Week 13/SparkPLUS deadlines are unconfirmed. Public task stores no private reflection or assessment content.</x:v>
      </x:c>
      <x:c r="Y164" s="12" t="n">
        <x:f>INT((M164-'Import Guide'!$B$3)/7)+1</x:f>
        <x:v>3</x:v>
      </x:c>
      <x:c r="Z164" s="12" t="str">
        <x:f>VLOOKUP(A164,'Dependencies'!$A$2:$G$224,7,FALSE)</x:f>
        <x:v>OK</x:v>
      </x:c>
      <x:c r="AA164" s="12" t="str">
        <x:f>IF(COUNTIFS('Milestones'!$A$2:$A$7,G164)&lt;&gt;1,"BAD GATE",IF(M164&lt;=VLOOKUP(G164,'Milestones'!$A$2:$C$7,3,FALSE),"OK","LATE"))</x:f>
        <x:v>OK</x:v>
      </x:c>
      <x:c r="AB164" s="12" t="n">
        <x:f>IF(OR(V164="Done",V164="Cut"),"",M164-TODAY())</x:f>
        <x:v>23</x:v>
      </x:c>
    </x:row>
    <x:row r="165" ht="90" customHeight="1">
      <x:c r="A165" s="7" t="str">
        <x:v>DEMO-ABD-R2</x:v>
      </x:c>
      <x:c r="B165" s="7" t="str">
        <x:v>Participate in rehearsal two and cross-module Q&amp;A</x:v>
      </x:c>
      <x:c r="C165" s="9" t="str">
        <x:v>Attend final run and answer questions outside own workstream.</x:v>
      </x:c>
      <x:c r="D165" s="9" t="str">
        <x:v>All assigned speaking and random Q&amp;A tasks completed; final checklist acknowledged.</x:v>
      </x:c>
      <x:c r="E165" s="7" t="str">
        <x:v>Demo</x:v>
      </x:c>
      <x:c r="F165" s="7" t="str">
        <x:v>E</x:v>
      </x:c>
      <x:c r="G165" s="7" t="str">
        <x:v>G5</x:v>
      </x:c>
      <x:c r="H165" s="7" t="str">
        <x:v>P0 must</x:v>
      </x:c>
      <x:c r="I165" s="7" t="str">
        <x:v>Abdullah</x:v>
      </x:c>
      <x:c r="J165" s="7" t="str">
        <x:f>IF(VLOOKUP(I165,'Team'!$A$2:$B$7,2,FALSE)="","",VLOOKUP(I165,'Team'!$A$2:$B$7,2,FALSE))</x:f>
      </x:c>
      <x:c r="K165" s="7" t="str">
        <x:v>Zhaolin</x:v>
      </x:c>
      <x:c r="L165" s="10" t="n">
        <x:v>46326</x:v>
      </x:c>
      <x:c r="M165" s="10" t="n">
        <x:v>46326</x:v>
      </x:c>
      <x:c r="N165" s="11" t="n">
        <x:v>1</x:v>
      </x:c>
      <x:c r="O165" s="7" t="str">
        <x:v>DEMO-03</x:v>
      </x:c>
      <x:c r="P165" s="7" t="str"/>
      <x:c r="Q165" s="7" t="str">
        <x:v>N</x:v>
      </x:c>
      <x:c r="R165" s="7" t="str">
        <x:v>docs/demo-runbook.md</x:v>
      </x:c>
      <x:c r="S165" s="7" t="str">
        <x:v>Final rehearsal attendance</x:v>
      </x:c>
      <x:c r="T165" s="7" t="str">
        <x:v>Evidence and limitations</x:v>
      </x:c>
      <x:c r="U165" s="7" t="str">
        <x:v>workstream:e;priority:p0;category:demo</x:v>
      </x:c>
      <x:c r="V165" s="7" t="str">
        <x:v>Todo</x:v>
      </x:c>
      <x:c r="W165" s="7" t="str"/>
      <x:c r="X165" s="9" t="str">
        <x:v>Internal Sydney date. Estimate includes implementation, author checks and handoff; reviewer time is separately budgeted.</x:v>
      </x:c>
      <x:c r="Y165" s="12" t="n">
        <x:f>INT((M165-'Import Guide'!$B$3)/7)+1</x:f>
        <x:v>3</x:v>
      </x:c>
      <x:c r="Z165" s="12" t="str">
        <x:f>VLOOKUP(A165,'Dependencies'!$A$2:$G$224,7,FALSE)</x:f>
        <x:v>OK</x:v>
      </x:c>
      <x:c r="AA165" s="12" t="str">
        <x:f>IF(COUNTIFS('Milestones'!$A$2:$A$7,G165)&lt;&gt;1,"BAD GATE",IF(M165&lt;=VLOOKUP(G165,'Milestones'!$A$2:$C$7,3,FALSE),"OK","LATE"))</x:f>
        <x:v>OK</x:v>
      </x:c>
      <x:c r="AB165" s="12" t="n">
        <x:f>IF(OR(V165="Done",V165="Cut"),"",M165-TODAY())</x:f>
        <x:v>23</x:v>
      </x:c>
    </x:row>
    <x:row r="166" ht="90" customHeight="1">
      <x:c r="A166" s="7" t="str">
        <x:v>REV-RIC-1</x:v>
      </x:c>
      <x:c r="B166" s="7" t="str">
        <x:v>Review Saviour work for Week 1</x:v>
      </x:c>
      <x:c r="C166" s="9" t="str">
        <x:v>Review partner PRs throughout the week, check interfaces and evidence; this row reserves total reviewer time.</x:v>
      </x:c>
      <x:c r="D166" s="9" t="str">
        <x:v>Focused reviews include reproducible checks and a recorded disposition; review backlog zero at gate.</x:v>
      </x:c>
      <x:c r="E166" s="7" t="str">
        <x:v>Process</x:v>
      </x:c>
      <x:c r="F166" s="7" t="str">
        <x:v>C</x:v>
      </x:c>
      <x:c r="G166" s="7" t="str">
        <x:v>G1</x:v>
      </x:c>
      <x:c r="H166" s="7" t="str">
        <x:v>P0 must</x:v>
      </x:c>
      <x:c r="I166" s="7" t="str">
        <x:v>Ricky</x:v>
      </x:c>
      <x:c r="J166" s="7" t="str">
        <x:f>IF(VLOOKUP(I166,'Team'!$A$2:$B$7,2,FALSE)="","",VLOOKUP(I166,'Team'!$A$2:$B$7,2,FALSE))</x:f>
      </x:c>
      <x:c r="K166" s="7" t="str">
        <x:v>Saviour</x:v>
      </x:c>
      <x:c r="L166" s="10" t="n">
        <x:v>46307</x:v>
      </x:c>
      <x:c r="M166" s="10" t="n">
        <x:v>46313</x:v>
      </x:c>
      <x:c r="N166" s="11" t="n">
        <x:v>3</x:v>
      </x:c>
      <x:c r="O166" s="7" t="str">
        <x:v>PROC-01</x:v>
      </x:c>
      <x:c r="P166" s="7" t="str"/>
      <x:c r="Q166" s="7" t="str">
        <x:v>N</x:v>
      </x:c>
      <x:c r="R166" s="7" t="str">
        <x:v>Pull requests; docs/reviews.md</x:v>
      </x:c>
      <x:c r="S166" s="7" t="str">
        <x:v>Week 1 review links</x:v>
      </x:c>
      <x:c r="T166" s="7" t="str">
        <x:v>Scope and rationale</x:v>
      </x:c>
      <x:c r="U166" s="7" t="str">
        <x:v>workstream:c;priority:p0;category:process</x:v>
      </x:c>
      <x:c r="V166" s="7" t="str">
        <x:v>Todo</x:v>
      </x:c>
      <x:c r="W166" s="7" t="str"/>
      <x:c r="X166" s="9" t="str">
        <x:v>Time budget spread across the week, not continuous work or all on due date. Reviews occur before dependent task starts. One row totals &lt;=3 h of short sessions. Same-day handoff: complete/review PROC-01 before starting this task.</x:v>
      </x:c>
      <x:c r="Y166" s="12" t="n">
        <x:f>INT((M166-'Import Guide'!$B$3)/7)+1</x:f>
        <x:v>1</x:v>
      </x:c>
      <x:c r="Z166" s="12" t="str">
        <x:f>VLOOKUP(A166,'Dependencies'!$A$2:$G$224,7,FALSE)</x:f>
        <x:v>OK</x:v>
      </x:c>
      <x:c r="AA166" s="12" t="str">
        <x:f>IF(COUNTIFS('Milestones'!$A$2:$A$7,G166)&lt;&gt;1,"BAD GATE",IF(M166&lt;=VLOOKUP(G166,'Milestones'!$A$2:$C$7,3,FALSE),"OK","LATE"))</x:f>
        <x:v>OK</x:v>
      </x:c>
      <x:c r="AB166" s="12" t="n">
        <x:f>IF(OR(V166="Done",V166="Cut"),"",M166-TODAY())</x:f>
        <x:v>10</x:v>
      </x:c>
    </x:row>
    <x:row r="167" ht="90" customHeight="1">
      <x:c r="A167" s="7" t="str">
        <x:v>COM-RIC-1</x:v>
      </x:c>
      <x:c r="B167" s="7" t="str">
        <x:v>Attend Week 1 integration and cross-training sessions</x:v>
      </x:c>
      <x:c r="C167" s="9" t="str">
        <x:v>Budget kickoff/check-ins and a paired explanation of one unfamiliar module; distribute time through the week.</x:v>
      </x:c>
      <x:c r="D167" s="9" t="str">
        <x:v>Decisions/blockers recorded; member can explain inputs, failure mode and test of partner module.</x:v>
      </x:c>
      <x:c r="E167" s="7" t="str">
        <x:v>Process</x:v>
      </x:c>
      <x:c r="F167" s="7" t="str">
        <x:v>C</x:v>
      </x:c>
      <x:c r="G167" s="7" t="str">
        <x:v>G1</x:v>
      </x:c>
      <x:c r="H167" s="7" t="str">
        <x:v>P0 must</x:v>
      </x:c>
      <x:c r="I167" s="7" t="str">
        <x:v>Ricky</x:v>
      </x:c>
      <x:c r="J167" s="7" t="str">
        <x:f>IF(VLOOKUP(I167,'Team'!$A$2:$B$7,2,FALSE)="","",VLOOKUP(I167,'Team'!$A$2:$B$7,2,FALSE))</x:f>
      </x:c>
      <x:c r="K167" s="7" t="str">
        <x:v>Saviour</x:v>
      </x:c>
      <x:c r="L167" s="10" t="n">
        <x:v>46307</x:v>
      </x:c>
      <x:c r="M167" s="10" t="n">
        <x:v>46313</x:v>
      </x:c>
      <x:c r="N167" s="11" t="n">
        <x:v>1.5</x:v>
      </x:c>
      <x:c r="O167" s="7" t="str"/>
      <x:c r="P167" s="7" t="str"/>
      <x:c r="Q167" s="7" t="str">
        <x:v>N</x:v>
      </x:c>
      <x:c r="R167" s="7" t="str">
        <x:v>docs/knowledge-matrix.md</x:v>
      </x:c>
      <x:c r="S167" s="7" t="str">
        <x:v>Week 1 cross-training record</x:v>
      </x:c>
      <x:c r="T167" s="7" t="str">
        <x:v>Scope and rationale</x:v>
      </x:c>
      <x:c r="U167" s="7" t="str">
        <x:v>workstream:c;priority:p0;category:process</x:v>
      </x:c>
      <x:c r="V167" s="7" t="str">
        <x:v>Todo</x:v>
      </x:c>
      <x:c r="W167" s="7" t="str"/>
      <x:c r="X167" s="9" t="str">
        <x:v>Time budget spread across the week, not continuous work or all on due date. Reviews occur before dependent task starts. One row totals &lt;=3 h of short sessions.</x:v>
      </x:c>
      <x:c r="Y167" s="12" t="n">
        <x:f>INT((M167-'Import Guide'!$B$3)/7)+1</x:f>
        <x:v>1</x:v>
      </x:c>
      <x:c r="Z167" s="12" t="str">
        <x:f>VLOOKUP(A167,'Dependencies'!$A$2:$G$224,7,FALSE)</x:f>
        <x:v>OK</x:v>
      </x:c>
      <x:c r="AA167" s="12" t="str">
        <x:f>IF(COUNTIFS('Milestones'!$A$2:$A$7,G167)&lt;&gt;1,"BAD GATE",IF(M167&lt;=VLOOKUP(G167,'Milestones'!$A$2:$C$7,3,FALSE),"OK","LATE"))</x:f>
        <x:v>OK</x:v>
      </x:c>
      <x:c r="AB167" s="12" t="n">
        <x:f>IF(OR(V167="Done",V167="Cut"),"",M167-TODAY())</x:f>
        <x:v>10</x:v>
      </x:c>
    </x:row>
    <x:row r="168" ht="90" customHeight="1">
      <x:c r="A168" s="7" t="str">
        <x:v>IND-RIC-AI1</x:v>
      </x:c>
      <x:c r="B168" s="7" t="str">
        <x:v>Check Week 1 AI Journal and commit disclosures</x:v>
      </x:c>
      <x:c r="C168" s="9" t="str">
        <x:v>Privately reconcile significant VSCode AI Journal entries with commits and reviews.</x:v>
      </x:c>
      <x:c r="D168" s="9" t="str">
        <x:v>All significant interactions recorded; AI-assisted footer names actual reviewer; journal content stays private.</x:v>
      </x:c>
      <x:c r="E168" s="7" t="str">
        <x:v>Individual</x:v>
      </x:c>
      <x:c r="F168" s="7" t="str">
        <x:v>C</x:v>
      </x:c>
      <x:c r="G168" s="7" t="str">
        <x:v>G1</x:v>
      </x:c>
      <x:c r="H168" s="7" t="str">
        <x:v>P0 must</x:v>
      </x:c>
      <x:c r="I168" s="7" t="str">
        <x:v>Ricky</x:v>
      </x:c>
      <x:c r="J168" s="7" t="str">
        <x:f>IF(VLOOKUP(I168,'Team'!$A$2:$B$7,2,FALSE)="","",VLOOKUP(I168,'Team'!$A$2:$B$7,2,FALSE))</x:f>
      </x:c>
      <x:c r="K168" s="7" t="str">
        <x:v>Saviour</x:v>
      </x:c>
      <x:c r="L168" s="10" t="n">
        <x:v>46313</x:v>
      </x:c>
      <x:c r="M168" s="10" t="n">
        <x:v>46313</x:v>
      </x:c>
      <x:c r="N168" s="11" t="n">
        <x:v>0.5</x:v>
      </x:c>
      <x:c r="O168" s="7" t="str"/>
      <x:c r="P168" s="7" t="str"/>
      <x:c r="Q168" s="7" t="str">
        <x:v>N</x:v>
      </x:c>
      <x:c r="R168" s="7" t="str">
        <x:v>Private AI Journal; commit history</x:v>
      </x:c>
      <x:c r="S168" s="7" t="str">
        <x:v>Private completion confirmation only</x:v>
      </x:c>
      <x:c r="T168" s="7" t="str">
        <x:v>Individual (private)</x:v>
      </x:c>
      <x:c r="U168" s="7" t="str">
        <x:v>workstream:c;priority:p0;category:individual</x:v>
      </x:c>
      <x:c r="V168" s="7" t="str">
        <x:v>Todo</x:v>
      </x:c>
      <x:c r="W168" s="7" t="str"/>
      <x:c r="X168" s="9" t="str">
        <x:v>Internal readiness date only. Actual Canvas/Week 13/SparkPLUS deadlines are unconfirmed. Public task stores no private reflection or assessment content.</x:v>
      </x:c>
      <x:c r="Y168" s="12" t="n">
        <x:f>INT((M168-'Import Guide'!$B$3)/7)+1</x:f>
        <x:v>1</x:v>
      </x:c>
      <x:c r="Z168" s="12" t="str">
        <x:f>VLOOKUP(A168,'Dependencies'!$A$2:$G$224,7,FALSE)</x:f>
        <x:v>OK</x:v>
      </x:c>
      <x:c r="AA168" s="12" t="str">
        <x:f>IF(COUNTIFS('Milestones'!$A$2:$A$7,G168)&lt;&gt;1,"BAD GATE",IF(M168&lt;=VLOOKUP(G168,'Milestones'!$A$2:$C$7,3,FALSE),"OK","LATE"))</x:f>
        <x:v>OK</x:v>
      </x:c>
      <x:c r="AB168" s="12" t="n">
        <x:f>IF(OR(V168="Done",V168="Cut"),"",M168-TODAY())</x:f>
        <x:v>10</x:v>
      </x:c>
    </x:row>
    <x:row r="169" ht="90" customHeight="1">
      <x:c r="A169" s="7" t="str">
        <x:v>REV-RIC-2</x:v>
      </x:c>
      <x:c r="B169" s="7" t="str">
        <x:v>Review Saviour work for Week 2</x:v>
      </x:c>
      <x:c r="C169" s="9" t="str">
        <x:v>Review partner PRs throughout the week, check interfaces and evidence; this row reserves total reviewer time.</x:v>
      </x:c>
      <x:c r="D169" s="9" t="str">
        <x:v>Focused reviews include reproducible checks and a recorded disposition; review backlog zero at gate.</x:v>
      </x:c>
      <x:c r="E169" s="7" t="str">
        <x:v>Process</x:v>
      </x:c>
      <x:c r="F169" s="7" t="str">
        <x:v>C</x:v>
      </x:c>
      <x:c r="G169" s="7" t="str">
        <x:v>G3</x:v>
      </x:c>
      <x:c r="H169" s="7" t="str">
        <x:v>P0 must</x:v>
      </x:c>
      <x:c r="I169" s="7" t="str">
        <x:v>Ricky</x:v>
      </x:c>
      <x:c r="J169" s="7" t="str">
        <x:f>IF(VLOOKUP(I169,'Team'!$A$2:$B$7,2,FALSE)="","",VLOOKUP(I169,'Team'!$A$2:$B$7,2,FALSE))</x:f>
      </x:c>
      <x:c r="K169" s="7" t="str">
        <x:v>Saviour</x:v>
      </x:c>
      <x:c r="L169" s="10" t="n">
        <x:v>46314</x:v>
      </x:c>
      <x:c r="M169" s="10" t="n">
        <x:v>46320</x:v>
      </x:c>
      <x:c r="N169" s="11" t="n">
        <x:v>3</x:v>
      </x:c>
      <x:c r="O169" s="7" t="str">
        <x:v>PROC-01</x:v>
      </x:c>
      <x:c r="P169" s="7" t="str"/>
      <x:c r="Q169" s="7" t="str">
        <x:v>N</x:v>
      </x:c>
      <x:c r="R169" s="7" t="str">
        <x:v>Pull requests; docs/reviews.md</x:v>
      </x:c>
      <x:c r="S169" s="7" t="str">
        <x:v>Week 2 review links</x:v>
      </x:c>
      <x:c r="T169" s="7" t="str">
        <x:v>Scope and rationale</x:v>
      </x:c>
      <x:c r="U169" s="7" t="str">
        <x:v>workstream:c;priority:p0;category:process</x:v>
      </x:c>
      <x:c r="V169" s="7" t="str">
        <x:v>Todo</x:v>
      </x:c>
      <x:c r="W169" s="7" t="str"/>
      <x:c r="X169" s="9" t="str">
        <x:v>Time budget spread across the week, not continuous work or all on due date. Reviews occur before dependent task starts. One row totals &lt;=3 h of short sessions.</x:v>
      </x:c>
      <x:c r="Y169" s="12" t="n">
        <x:f>INT((M169-'Import Guide'!$B$3)/7)+1</x:f>
        <x:v>2</x:v>
      </x:c>
      <x:c r="Z169" s="12" t="str">
        <x:f>VLOOKUP(A169,'Dependencies'!$A$2:$G$224,7,FALSE)</x:f>
        <x:v>OK</x:v>
      </x:c>
      <x:c r="AA169" s="12" t="str">
        <x:f>IF(COUNTIFS('Milestones'!$A$2:$A$7,G169)&lt;&gt;1,"BAD GATE",IF(M169&lt;=VLOOKUP(G169,'Milestones'!$A$2:$C$7,3,FALSE),"OK","LATE"))</x:f>
        <x:v>OK</x:v>
      </x:c>
      <x:c r="AB169" s="12" t="n">
        <x:f>IF(OR(V169="Done",V169="Cut"),"",M169-TODAY())</x:f>
        <x:v>17</x:v>
      </x:c>
    </x:row>
    <x:row r="170" ht="90" customHeight="1">
      <x:c r="A170" s="7" t="str">
        <x:v>COM-RIC-2</x:v>
      </x:c>
      <x:c r="B170" s="7" t="str">
        <x:v>Attend Week 2 integration and cross-training sessions</x:v>
      </x:c>
      <x:c r="C170" s="9" t="str">
        <x:v>Budget kickoff/check-ins and a paired explanation of one unfamiliar module; distribute time through the week.</x:v>
      </x:c>
      <x:c r="D170" s="9" t="str">
        <x:v>Decisions/blockers recorded; member can explain inputs, failure mode and test of partner module.</x:v>
      </x:c>
      <x:c r="E170" s="7" t="str">
        <x:v>Process</x:v>
      </x:c>
      <x:c r="F170" s="7" t="str">
        <x:v>C</x:v>
      </x:c>
      <x:c r="G170" s="7" t="str">
        <x:v>G3</x:v>
      </x:c>
      <x:c r="H170" s="7" t="str">
        <x:v>P0 must</x:v>
      </x:c>
      <x:c r="I170" s="7" t="str">
        <x:v>Ricky</x:v>
      </x:c>
      <x:c r="J170" s="7" t="str">
        <x:f>IF(VLOOKUP(I170,'Team'!$A$2:$B$7,2,FALSE)="","",VLOOKUP(I170,'Team'!$A$2:$B$7,2,FALSE))</x:f>
      </x:c>
      <x:c r="K170" s="7" t="str">
        <x:v>Saviour</x:v>
      </x:c>
      <x:c r="L170" s="10" t="n">
        <x:v>46314</x:v>
      </x:c>
      <x:c r="M170" s="10" t="n">
        <x:v>46320</x:v>
      </x:c>
      <x:c r="N170" s="11" t="n">
        <x:v>1.5</x:v>
      </x:c>
      <x:c r="O170" s="7" t="str"/>
      <x:c r="P170" s="7" t="str"/>
      <x:c r="Q170" s="7" t="str">
        <x:v>N</x:v>
      </x:c>
      <x:c r="R170" s="7" t="str">
        <x:v>docs/knowledge-matrix.md</x:v>
      </x:c>
      <x:c r="S170" s="7" t="str">
        <x:v>Week 2 cross-training record</x:v>
      </x:c>
      <x:c r="T170" s="7" t="str">
        <x:v>Scope and rationale</x:v>
      </x:c>
      <x:c r="U170" s="7" t="str">
        <x:v>workstream:c;priority:p0;category:process</x:v>
      </x:c>
      <x:c r="V170" s="7" t="str">
        <x:v>Todo</x:v>
      </x:c>
      <x:c r="W170" s="7" t="str"/>
      <x:c r="X170" s="9" t="str">
        <x:v>Time budget spread across the week, not continuous work or all on due date. Reviews occur before dependent task starts. One row totals &lt;=3 h of short sessions.</x:v>
      </x:c>
      <x:c r="Y170" s="12" t="n">
        <x:f>INT((M170-'Import Guide'!$B$3)/7)+1</x:f>
        <x:v>2</x:v>
      </x:c>
      <x:c r="Z170" s="12" t="str">
        <x:f>VLOOKUP(A170,'Dependencies'!$A$2:$G$224,7,FALSE)</x:f>
        <x:v>OK</x:v>
      </x:c>
      <x:c r="AA170" s="12" t="str">
        <x:f>IF(COUNTIFS('Milestones'!$A$2:$A$7,G170)&lt;&gt;1,"BAD GATE",IF(M170&lt;=VLOOKUP(G170,'Milestones'!$A$2:$C$7,3,FALSE),"OK","LATE"))</x:f>
        <x:v>OK</x:v>
      </x:c>
      <x:c r="AB170" s="12" t="n">
        <x:f>IF(OR(V170="Done",V170="Cut"),"",M170-TODAY())</x:f>
        <x:v>17</x:v>
      </x:c>
    </x:row>
    <x:row r="171" ht="90" customHeight="1">
      <x:c r="A171" s="7" t="str">
        <x:v>IND-RIC-AI2</x:v>
      </x:c>
      <x:c r="B171" s="7" t="str">
        <x:v>Check Week 2 AI Journal and commit disclosures</x:v>
      </x:c>
      <x:c r="C171" s="9" t="str">
        <x:v>Privately reconcile significant VSCode AI Journal entries with commits and reviews.</x:v>
      </x:c>
      <x:c r="D171" s="9" t="str">
        <x:v>All significant interactions recorded; AI-assisted footer names actual reviewer; journal content stays private.</x:v>
      </x:c>
      <x:c r="E171" s="7" t="str">
        <x:v>Individual</x:v>
      </x:c>
      <x:c r="F171" s="7" t="str">
        <x:v>C</x:v>
      </x:c>
      <x:c r="G171" s="7" t="str">
        <x:v>G3</x:v>
      </x:c>
      <x:c r="H171" s="7" t="str">
        <x:v>P0 must</x:v>
      </x:c>
      <x:c r="I171" s="7" t="str">
        <x:v>Ricky</x:v>
      </x:c>
      <x:c r="J171" s="7" t="str">
        <x:f>IF(VLOOKUP(I171,'Team'!$A$2:$B$7,2,FALSE)="","",VLOOKUP(I171,'Team'!$A$2:$B$7,2,FALSE))</x:f>
      </x:c>
      <x:c r="K171" s="7" t="str">
        <x:v>Saviour</x:v>
      </x:c>
      <x:c r="L171" s="10" t="n">
        <x:v>46320</x:v>
      </x:c>
      <x:c r="M171" s="10" t="n">
        <x:v>46320</x:v>
      </x:c>
      <x:c r="N171" s="11" t="n">
        <x:v>0.5</x:v>
      </x:c>
      <x:c r="O171" s="7" t="str"/>
      <x:c r="P171" s="7" t="str"/>
      <x:c r="Q171" s="7" t="str">
        <x:v>N</x:v>
      </x:c>
      <x:c r="R171" s="7" t="str">
        <x:v>Private AI Journal; commit history</x:v>
      </x:c>
      <x:c r="S171" s="7" t="str">
        <x:v>Private completion confirmation only</x:v>
      </x:c>
      <x:c r="T171" s="7" t="str">
        <x:v>Individual (private)</x:v>
      </x:c>
      <x:c r="U171" s="7" t="str">
        <x:v>workstream:c;priority:p0;category:individual</x:v>
      </x:c>
      <x:c r="V171" s="7" t="str">
        <x:v>Todo</x:v>
      </x:c>
      <x:c r="W171" s="7" t="str"/>
      <x:c r="X171" s="9" t="str">
        <x:v>Internal readiness date only. Actual Canvas/Week 13/SparkPLUS deadlines are unconfirmed. Public task stores no private reflection or assessment content.</x:v>
      </x:c>
      <x:c r="Y171" s="12" t="n">
        <x:f>INT((M171-'Import Guide'!$B$3)/7)+1</x:f>
        <x:v>2</x:v>
      </x:c>
      <x:c r="Z171" s="12" t="str">
        <x:f>VLOOKUP(A171,'Dependencies'!$A$2:$G$224,7,FALSE)</x:f>
        <x:v>OK</x:v>
      </x:c>
      <x:c r="AA171" s="12" t="str">
        <x:f>IF(COUNTIFS('Milestones'!$A$2:$A$7,G171)&lt;&gt;1,"BAD GATE",IF(M171&lt;=VLOOKUP(G171,'Milestones'!$A$2:$C$7,3,FALSE),"OK","LATE"))</x:f>
        <x:v>OK</x:v>
      </x:c>
      <x:c r="AB171" s="12" t="n">
        <x:f>IF(OR(V171="Done",V171="Cut"),"",M171-TODAY())</x:f>
        <x:v>17</x:v>
      </x:c>
    </x:row>
    <x:row r="172" ht="90" customHeight="1">
      <x:c r="A172" s="7" t="str">
        <x:v>REV-RIC-3</x:v>
      </x:c>
      <x:c r="B172" s="7" t="str">
        <x:v>Review Saviour work for Week 3</x:v>
      </x:c>
      <x:c r="C172" s="9" t="str">
        <x:v>Review partner PRs throughout the week, check interfaces and evidence; this row reserves total reviewer time.</x:v>
      </x:c>
      <x:c r="D172" s="9" t="str">
        <x:v>Focused reviews include reproducible checks and a recorded disposition; review backlog zero at gate.</x:v>
      </x:c>
      <x:c r="E172" s="7" t="str">
        <x:v>Process</x:v>
      </x:c>
      <x:c r="F172" s="7" t="str">
        <x:v>C</x:v>
      </x:c>
      <x:c r="G172" s="7" t="str">
        <x:v>G5</x:v>
      </x:c>
      <x:c r="H172" s="7" t="str">
        <x:v>P0 must</x:v>
      </x:c>
      <x:c r="I172" s="7" t="str">
        <x:v>Ricky</x:v>
      </x:c>
      <x:c r="J172" s="7" t="str">
        <x:f>IF(VLOOKUP(I172,'Team'!$A$2:$B$7,2,FALSE)="","",VLOOKUP(I172,'Team'!$A$2:$B$7,2,FALSE))</x:f>
      </x:c>
      <x:c r="K172" s="7" t="str">
        <x:v>Saviour</x:v>
      </x:c>
      <x:c r="L172" s="10" t="n">
        <x:v>46321</x:v>
      </x:c>
      <x:c r="M172" s="10" t="n">
        <x:v>46326</x:v>
      </x:c>
      <x:c r="N172" s="11" t="n">
        <x:v>3</x:v>
      </x:c>
      <x:c r="O172" s="7" t="str">
        <x:v>PROC-01</x:v>
      </x:c>
      <x:c r="P172" s="7" t="str"/>
      <x:c r="Q172" s="7" t="str">
        <x:v>N</x:v>
      </x:c>
      <x:c r="R172" s="7" t="str">
        <x:v>Pull requests; docs/reviews.md</x:v>
      </x:c>
      <x:c r="S172" s="7" t="str">
        <x:v>Week 3 review links</x:v>
      </x:c>
      <x:c r="T172" s="7" t="str">
        <x:v>Scope and rationale</x:v>
      </x:c>
      <x:c r="U172" s="7" t="str">
        <x:v>workstream:c;priority:p0;category:process</x:v>
      </x:c>
      <x:c r="V172" s="7" t="str">
        <x:v>Todo</x:v>
      </x:c>
      <x:c r="W172" s="7" t="str"/>
      <x:c r="X172" s="9" t="str">
        <x:v>Time budget spread across the week, not continuous work or all on due date. Reviews occur before dependent task starts. One row totals &lt;=3 h of short sessions.</x:v>
      </x:c>
      <x:c r="Y172" s="12" t="n">
        <x:f>INT((M172-'Import Guide'!$B$3)/7)+1</x:f>
        <x:v>3</x:v>
      </x:c>
      <x:c r="Z172" s="12" t="str">
        <x:f>VLOOKUP(A172,'Dependencies'!$A$2:$G$224,7,FALSE)</x:f>
        <x:v>OK</x:v>
      </x:c>
      <x:c r="AA172" s="12" t="str">
        <x:f>IF(COUNTIFS('Milestones'!$A$2:$A$7,G172)&lt;&gt;1,"BAD GATE",IF(M172&lt;=VLOOKUP(G172,'Milestones'!$A$2:$C$7,3,FALSE),"OK","LATE"))</x:f>
        <x:v>OK</x:v>
      </x:c>
      <x:c r="AB172" s="12" t="n">
        <x:f>IF(OR(V172="Done",V172="Cut"),"",M172-TODAY())</x:f>
        <x:v>23</x:v>
      </x:c>
    </x:row>
    <x:row r="173" ht="90" customHeight="1">
      <x:c r="A173" s="7" t="str">
        <x:v>COM-RIC-3</x:v>
      </x:c>
      <x:c r="B173" s="7" t="str">
        <x:v>Attend Week 3 integration and cross-training sessions</x:v>
      </x:c>
      <x:c r="C173" s="9" t="str">
        <x:v>Budget kickoff/check-ins and a paired explanation of one unfamiliar module; distribute time through the week.</x:v>
      </x:c>
      <x:c r="D173" s="9" t="str">
        <x:v>Decisions/blockers recorded; member can explain inputs, failure mode and test of partner module.</x:v>
      </x:c>
      <x:c r="E173" s="7" t="str">
        <x:v>Process</x:v>
      </x:c>
      <x:c r="F173" s="7" t="str">
        <x:v>C</x:v>
      </x:c>
      <x:c r="G173" s="7" t="str">
        <x:v>G5</x:v>
      </x:c>
      <x:c r="H173" s="7" t="str">
        <x:v>P0 must</x:v>
      </x:c>
      <x:c r="I173" s="7" t="str">
        <x:v>Ricky</x:v>
      </x:c>
      <x:c r="J173" s="7" t="str">
        <x:f>IF(VLOOKUP(I173,'Team'!$A$2:$B$7,2,FALSE)="","",VLOOKUP(I173,'Team'!$A$2:$B$7,2,FALSE))</x:f>
      </x:c>
      <x:c r="K173" s="7" t="str">
        <x:v>Saviour</x:v>
      </x:c>
      <x:c r="L173" s="10" t="n">
        <x:v>46321</x:v>
      </x:c>
      <x:c r="M173" s="10" t="n">
        <x:v>46326</x:v>
      </x:c>
      <x:c r="N173" s="11" t="n">
        <x:v>1.5</x:v>
      </x:c>
      <x:c r="O173" s="7" t="str"/>
      <x:c r="P173" s="7" t="str"/>
      <x:c r="Q173" s="7" t="str">
        <x:v>N</x:v>
      </x:c>
      <x:c r="R173" s="7" t="str">
        <x:v>docs/knowledge-matrix.md</x:v>
      </x:c>
      <x:c r="S173" s="7" t="str">
        <x:v>Week 3 cross-training record</x:v>
      </x:c>
      <x:c r="T173" s="7" t="str">
        <x:v>Scope and rationale</x:v>
      </x:c>
      <x:c r="U173" s="7" t="str">
        <x:v>workstream:c;priority:p0;category:process</x:v>
      </x:c>
      <x:c r="V173" s="7" t="str">
        <x:v>Todo</x:v>
      </x:c>
      <x:c r="W173" s="7" t="str"/>
      <x:c r="X173" s="9" t="str">
        <x:v>Time budget spread across the week, not continuous work or all on due date. Reviews occur before dependent task starts. One row totals &lt;=3 h of short sessions.</x:v>
      </x:c>
      <x:c r="Y173" s="12" t="n">
        <x:f>INT((M173-'Import Guide'!$B$3)/7)+1</x:f>
        <x:v>3</x:v>
      </x:c>
      <x:c r="Z173" s="12" t="str">
        <x:f>VLOOKUP(A173,'Dependencies'!$A$2:$G$224,7,FALSE)</x:f>
        <x:v>OK</x:v>
      </x:c>
      <x:c r="AA173" s="12" t="str">
        <x:f>IF(COUNTIFS('Milestones'!$A$2:$A$7,G173)&lt;&gt;1,"BAD GATE",IF(M173&lt;=VLOOKUP(G173,'Milestones'!$A$2:$C$7,3,FALSE),"OK","LATE"))</x:f>
        <x:v>OK</x:v>
      </x:c>
      <x:c r="AB173" s="12" t="n">
        <x:f>IF(OR(V173="Done",V173="Cut"),"",M173-TODAY())</x:f>
        <x:v>23</x:v>
      </x:c>
    </x:row>
    <x:row r="174" ht="90" customHeight="1">
      <x:c r="A174" s="7" t="str">
        <x:v>IND-RIC-AI3</x:v>
      </x:c>
      <x:c r="B174" s="7" t="str">
        <x:v>Check Week 3 AI Journal and commit disclosures</x:v>
      </x:c>
      <x:c r="C174" s="9" t="str">
        <x:v>Privately reconcile significant VSCode AI Journal entries with commits and reviews.</x:v>
      </x:c>
      <x:c r="D174" s="9" t="str">
        <x:v>All significant interactions recorded; AI-assisted footer names actual reviewer; journal content stays private.</x:v>
      </x:c>
      <x:c r="E174" s="7" t="str">
        <x:v>Individual</x:v>
      </x:c>
      <x:c r="F174" s="7" t="str">
        <x:v>C</x:v>
      </x:c>
      <x:c r="G174" s="7" t="str">
        <x:v>G5</x:v>
      </x:c>
      <x:c r="H174" s="7" t="str">
        <x:v>P0 must</x:v>
      </x:c>
      <x:c r="I174" s="7" t="str">
        <x:v>Ricky</x:v>
      </x:c>
      <x:c r="J174" s="7" t="str">
        <x:f>IF(VLOOKUP(I174,'Team'!$A$2:$B$7,2,FALSE)="","",VLOOKUP(I174,'Team'!$A$2:$B$7,2,FALSE))</x:f>
      </x:c>
      <x:c r="K174" s="7" t="str">
        <x:v>Saviour</x:v>
      </x:c>
      <x:c r="L174" s="10" t="n">
        <x:v>46326</x:v>
      </x:c>
      <x:c r="M174" s="10" t="n">
        <x:v>46326</x:v>
      </x:c>
      <x:c r="N174" s="11" t="n">
        <x:v>0.5</x:v>
      </x:c>
      <x:c r="O174" s="7" t="str"/>
      <x:c r="P174" s="7" t="str"/>
      <x:c r="Q174" s="7" t="str">
        <x:v>N</x:v>
      </x:c>
      <x:c r="R174" s="7" t="str">
        <x:v>Private AI Journal; commit history</x:v>
      </x:c>
      <x:c r="S174" s="7" t="str">
        <x:v>Private completion confirmation only</x:v>
      </x:c>
      <x:c r="T174" s="7" t="str">
        <x:v>Individual (private)</x:v>
      </x:c>
      <x:c r="U174" s="7" t="str">
        <x:v>workstream:c;priority:p0;category:individual</x:v>
      </x:c>
      <x:c r="V174" s="7" t="str">
        <x:v>Todo</x:v>
      </x:c>
      <x:c r="W174" s="7" t="str"/>
      <x:c r="X174" s="9" t="str">
        <x:v>Internal readiness date only. Actual Canvas/Week 13/SparkPLUS deadlines are unconfirmed. Public task stores no private reflection or assessment content.</x:v>
      </x:c>
      <x:c r="Y174" s="12" t="n">
        <x:f>INT((M174-'Import Guide'!$B$3)/7)+1</x:f>
        <x:v>3</x:v>
      </x:c>
      <x:c r="Z174" s="12" t="str">
        <x:f>VLOOKUP(A174,'Dependencies'!$A$2:$G$224,7,FALSE)</x:f>
        <x:v>OK</x:v>
      </x:c>
      <x:c r="AA174" s="12" t="str">
        <x:f>IF(COUNTIFS('Milestones'!$A$2:$A$7,G174)&lt;&gt;1,"BAD GATE",IF(M174&lt;=VLOOKUP(G174,'Milestones'!$A$2:$C$7,3,FALSE),"OK","LATE"))</x:f>
        <x:v>OK</x:v>
      </x:c>
      <x:c r="AB174" s="12" t="n">
        <x:f>IF(OR(V174="Done",V174="Cut"),"",M174-TODAY())</x:f>
        <x:v>23</x:v>
      </x:c>
    </x:row>
    <x:row r="175" ht="90" customHeight="1">
      <x:c r="A175" s="7" t="str">
        <x:v>IND-RIC-REF</x:v>
      </x:c>
      <x:c r="B175" s="7" t="str">
        <x:v>Draft and privately check individual self-reflection</x:v>
      </x:c>
      <x:c r="C175" s="9" t="str">
        <x:v>Address contribution links, challenge/learning and specific AI Journal entries; this is readiness, not assumed submission.</x:v>
      </x:c>
      <x:c r="D175" s="9" t="str">
        <x:v>At most 1 page and 400 words; private file ready for actual Canvas deadline.</x:v>
      </x:c>
      <x:c r="E175" s="7" t="str">
        <x:v>Individual</x:v>
      </x:c>
      <x:c r="F175" s="7" t="str">
        <x:v>C</x:v>
      </x:c>
      <x:c r="G175" s="7" t="str">
        <x:v>G5</x:v>
      </x:c>
      <x:c r="H175" s="7" t="str">
        <x:v>P0 must</x:v>
      </x:c>
      <x:c r="I175" s="7" t="str">
        <x:v>Ricky</x:v>
      </x:c>
      <x:c r="J175" s="7" t="str">
        <x:f>IF(VLOOKUP(I175,'Team'!$A$2:$B$7,2,FALSE)="","",VLOOKUP(I175,'Team'!$A$2:$B$7,2,FALSE))</x:f>
      </x:c>
      <x:c r="K175" s="7" t="str">
        <x:v>Saviour</x:v>
      </x:c>
      <x:c r="L175" s="10" t="n">
        <x:v>46325</x:v>
      </x:c>
      <x:c r="M175" s="10" t="n">
        <x:v>46325</x:v>
      </x:c>
      <x:c r="N175" s="11" t="n">
        <x:v>1</x:v>
      </x:c>
      <x:c r="O175" s="7" t="str"/>
      <x:c r="P175" s="7" t="str"/>
      <x:c r="Q175" s="7" t="str">
        <x:v>N</x:v>
      </x:c>
      <x:c r="R175" s="7" t="str">
        <x:v>Private self-reflection</x:v>
      </x:c>
      <x:c r="S175" s="7" t="str">
        <x:v>Private completion confirmation only</x:v>
      </x:c>
      <x:c r="T175" s="7" t="str">
        <x:v>Individual (private)</x:v>
      </x:c>
      <x:c r="U175" s="7" t="str">
        <x:v>workstream:c;priority:p0;category:individual</x:v>
      </x:c>
      <x:c r="V175" s="7" t="str">
        <x:v>Todo</x:v>
      </x:c>
      <x:c r="W175" s="7" t="str"/>
      <x:c r="X175" s="9" t="str">
        <x:v>Internal readiness date only. Actual Canvas/Week 13/SparkPLUS deadlines are unconfirmed. Public task stores no private reflection or assessment content.</x:v>
      </x:c>
      <x:c r="Y175" s="12" t="n">
        <x:f>INT((M175-'Import Guide'!$B$3)/7)+1</x:f>
        <x:v>3</x:v>
      </x:c>
      <x:c r="Z175" s="12" t="str">
        <x:f>VLOOKUP(A175,'Dependencies'!$A$2:$G$224,7,FALSE)</x:f>
        <x:v>OK</x:v>
      </x:c>
      <x:c r="AA175" s="12" t="str">
        <x:f>IF(COUNTIFS('Milestones'!$A$2:$A$7,G175)&lt;&gt;1,"BAD GATE",IF(M175&lt;=VLOOKUP(G175,'Milestones'!$A$2:$C$7,3,FALSE),"OK","LATE"))</x:f>
        <x:v>OK</x:v>
      </x:c>
      <x:c r="AB175" s="12" t="n">
        <x:f>IF(OR(V175="Done",V175="Cut"),"",M175-TODAY())</x:f>
        <x:v>22</x:v>
      </x:c>
    </x:row>
    <x:row r="176" ht="90" customHeight="1">
      <x:c r="A176" s="7" t="str">
        <x:v>IND-RIC-PEER</x:v>
      </x:c>
      <x:c r="B176" s="7" t="str">
        <x:v>Prepare peer-reflection forms and verify lab attendance</x:v>
      </x:c>
      <x:c r="C176" s="9" t="str">
        <x:v>Arrange attendance and two-other-team forms for actual Week 13 lab; completion occurs at the lab.</x:v>
      </x:c>
      <x:c r="D176" s="9" t="str">
        <x:v>Lab slot and at least two-team peer-reflection obligation recorded privately; actual lab task remains pending.</x:v>
      </x:c>
      <x:c r="E176" s="7" t="str">
        <x:v>Individual</x:v>
      </x:c>
      <x:c r="F176" s="7" t="str">
        <x:v>C</x:v>
      </x:c>
      <x:c r="G176" s="7" t="str">
        <x:v>G5</x:v>
      </x:c>
      <x:c r="H176" s="7" t="str">
        <x:v>P0 must</x:v>
      </x:c>
      <x:c r="I176" s="7" t="str">
        <x:v>Ricky</x:v>
      </x:c>
      <x:c r="J176" s="7" t="str">
        <x:f>IF(VLOOKUP(I176,'Team'!$A$2:$B$7,2,FALSE)="","",VLOOKUP(I176,'Team'!$A$2:$B$7,2,FALSE))</x:f>
      </x:c>
      <x:c r="K176" s="7" t="str">
        <x:v>Saviour</x:v>
      </x:c>
      <x:c r="L176" s="10" t="n">
        <x:v>46326</x:v>
      </x:c>
      <x:c r="M176" s="10" t="n">
        <x:v>46326</x:v>
      </x:c>
      <x:c r="N176" s="11" t="n">
        <x:v>0.25</x:v>
      </x:c>
      <x:c r="O176" s="7" t="str"/>
      <x:c r="P176" s="7" t="str"/>
      <x:c r="Q176" s="7" t="str">
        <x:v>N</x:v>
      </x:c>
      <x:c r="R176" s="7" t="str">
        <x:v>Private Canvas checklist</x:v>
      </x:c>
      <x:c r="S176" s="7" t="str">
        <x:v>Prepared confirmation only</x:v>
      </x:c>
      <x:c r="T176" s="7" t="str">
        <x:v>Individual (private)</x:v>
      </x:c>
      <x:c r="U176" s="7" t="str">
        <x:v>workstream:c;priority:p0;category:individual</x:v>
      </x:c>
      <x:c r="V176" s="7" t="str">
        <x:v>Todo</x:v>
      </x:c>
      <x:c r="W176" s="7" t="str"/>
      <x:c r="X176" s="9" t="str">
        <x:v>Internal readiness date only. Actual Canvas/Week 13/SparkPLUS deadlines are unconfirmed. Public task stores no private reflection or assessment content.</x:v>
      </x:c>
      <x:c r="Y176" s="12" t="n">
        <x:f>INT((M176-'Import Guide'!$B$3)/7)+1</x:f>
        <x:v>3</x:v>
      </x:c>
      <x:c r="Z176" s="12" t="str">
        <x:f>VLOOKUP(A176,'Dependencies'!$A$2:$G$224,7,FALSE)</x:f>
        <x:v>OK</x:v>
      </x:c>
      <x:c r="AA176" s="12" t="str">
        <x:f>IF(COUNTIFS('Milestones'!$A$2:$A$7,G176)&lt;&gt;1,"BAD GATE",IF(M176&lt;=VLOOKUP(G176,'Milestones'!$A$2:$C$7,3,FALSE),"OK","LATE"))</x:f>
        <x:v>OK</x:v>
      </x:c>
      <x:c r="AB176" s="12" t="n">
        <x:f>IF(OR(V176="Done",V176="Cut"),"",M176-TODAY())</x:f>
        <x:v>23</x:v>
      </x:c>
    </x:row>
    <x:row r="177" ht="90" customHeight="1">
      <x:c r="A177" s="7" t="str">
        <x:v>IND-RIC-SPARK</x:v>
      </x:c>
      <x:c r="B177" s="7" t="str">
        <x:v>Verify SparkPLUS deadline and personal submission reminder</x:v>
      </x:c>
      <x:c r="C177" s="9" t="str">
        <x:v>Check Canvas portal deadline and availability; schedule own reminder; never submit another member's assessment.</x:v>
      </x:c>
      <x:c r="D177" s="9" t="str">
        <x:v>Actual deadline copied privately and reminder set by member; readiness is distinct from completed assessment.</x:v>
      </x:c>
      <x:c r="E177" s="7" t="str">
        <x:v>Individual</x:v>
      </x:c>
      <x:c r="F177" s="7" t="str">
        <x:v>C</x:v>
      </x:c>
      <x:c r="G177" s="7" t="str">
        <x:v>G5</x:v>
      </x:c>
      <x:c r="H177" s="7" t="str">
        <x:v>P0 must</x:v>
      </x:c>
      <x:c r="I177" s="7" t="str">
        <x:v>Ricky</x:v>
      </x:c>
      <x:c r="J177" s="7" t="str">
        <x:f>IF(VLOOKUP(I177,'Team'!$A$2:$B$7,2,FALSE)="","",VLOOKUP(I177,'Team'!$A$2:$B$7,2,FALSE))</x:f>
      </x:c>
      <x:c r="K177" s="7" t="str">
        <x:v>Saviour</x:v>
      </x:c>
      <x:c r="L177" s="10" t="n">
        <x:v>46326</x:v>
      </x:c>
      <x:c r="M177" s="10" t="n">
        <x:v>46326</x:v>
      </x:c>
      <x:c r="N177" s="11" t="n">
        <x:v>0.25</x:v>
      </x:c>
      <x:c r="O177" s="7" t="str"/>
      <x:c r="P177" s="7" t="str"/>
      <x:c r="Q177" s="7" t="str">
        <x:v>N</x:v>
      </x:c>
      <x:c r="R177" s="7" t="str">
        <x:v>Private Canvas checklist</x:v>
      </x:c>
      <x:c r="S177" s="7" t="str">
        <x:v>Deadline verified confirmation only</x:v>
      </x:c>
      <x:c r="T177" s="7" t="str">
        <x:v>Individual (private)</x:v>
      </x:c>
      <x:c r="U177" s="7" t="str">
        <x:v>workstream:c;priority:p0;category:individual</x:v>
      </x:c>
      <x:c r="V177" s="7" t="str">
        <x:v>Todo</x:v>
      </x:c>
      <x:c r="W177" s="7" t="str"/>
      <x:c r="X177" s="9" t="str">
        <x:v>Internal readiness date only. Actual Canvas/Week 13/SparkPLUS deadlines are unconfirmed. Public task stores no private reflection or assessment content.</x:v>
      </x:c>
      <x:c r="Y177" s="12" t="n">
        <x:f>INT((M177-'Import Guide'!$B$3)/7)+1</x:f>
        <x:v>3</x:v>
      </x:c>
      <x:c r="Z177" s="12" t="str">
        <x:f>VLOOKUP(A177,'Dependencies'!$A$2:$G$224,7,FALSE)</x:f>
        <x:v>OK</x:v>
      </x:c>
      <x:c r="AA177" s="12" t="str">
        <x:f>IF(COUNTIFS('Milestones'!$A$2:$A$7,G177)&lt;&gt;1,"BAD GATE",IF(M177&lt;=VLOOKUP(G177,'Milestones'!$A$2:$C$7,3,FALSE),"OK","LATE"))</x:f>
        <x:v>OK</x:v>
      </x:c>
      <x:c r="AB177" s="12" t="n">
        <x:f>IF(OR(V177="Done",V177="Cut"),"",M177-TODAY())</x:f>
        <x:v>23</x:v>
      </x:c>
    </x:row>
    <x:row r="178" ht="90" customHeight="1">
      <x:c r="A178" s="7" t="str">
        <x:v>DEMO-RIC-R1</x:v>
      </x:c>
      <x:c r="B178" s="7" t="str">
        <x:v>Participate in rehearsal one and random Q&amp;A</x:v>
      </x:c>
      <x:c r="C178" s="9" t="str">
        <x:v>Attend the full timed demo; driver runs CARLA while other members present and answer.</x:v>
      </x:c>
      <x:c r="D178" s="9" t="str">
        <x:v>Attendance and own timing/knowledge gaps recorded; backup playback practised.</x:v>
      </x:c>
      <x:c r="E178" s="7" t="str">
        <x:v>Demo</x:v>
      </x:c>
      <x:c r="F178" s="7" t="str">
        <x:v>C</x:v>
      </x:c>
      <x:c r="G178" s="7" t="str">
        <x:v>G5</x:v>
      </x:c>
      <x:c r="H178" s="7" t="str">
        <x:v>P0 must</x:v>
      </x:c>
      <x:c r="I178" s="7" t="str">
        <x:v>Ricky</x:v>
      </x:c>
      <x:c r="J178" s="7" t="str">
        <x:f>IF(VLOOKUP(I178,'Team'!$A$2:$B$7,2,FALSE)="","",VLOOKUP(I178,'Team'!$A$2:$B$7,2,FALSE))</x:f>
      </x:c>
      <x:c r="K178" s="7" t="str">
        <x:v>Saviour</x:v>
      </x:c>
      <x:c r="L178" s="10" t="n">
        <x:v>46325</x:v>
      </x:c>
      <x:c r="M178" s="10" t="n">
        <x:v>46325</x:v>
      </x:c>
      <x:c r="N178" s="11" t="n">
        <x:v>1</x:v>
      </x:c>
      <x:c r="O178" s="7" t="str">
        <x:v>DEMO-02</x:v>
      </x:c>
      <x:c r="P178" s="7" t="str"/>
      <x:c r="Q178" s="7" t="str">
        <x:v>N</x:v>
      </x:c>
      <x:c r="R178" s="7" t="str">
        <x:v>docs/demo-runbook.md</x:v>
      </x:c>
      <x:c r="S178" s="7" t="str">
        <x:v>Rehearsal attendance</x:v>
      </x:c>
      <x:c r="T178" s="7" t="str">
        <x:v>Evidence and limitations</x:v>
      </x:c>
      <x:c r="U178" s="7" t="str">
        <x:v>workstream:c;priority:p0;category:demo</x:v>
      </x:c>
      <x:c r="V178" s="7" t="str">
        <x:v>Todo</x:v>
      </x:c>
      <x:c r="W178" s="7" t="str"/>
      <x:c r="X178" s="9" t="str">
        <x:v>Internal Sydney date. Estimate includes implementation, author checks and handoff; reviewer time is separately budgeted.</x:v>
      </x:c>
      <x:c r="Y178" s="12" t="n">
        <x:f>INT((M178-'Import Guide'!$B$3)/7)+1</x:f>
        <x:v>3</x:v>
      </x:c>
      <x:c r="Z178" s="12" t="str">
        <x:f>VLOOKUP(A178,'Dependencies'!$A$2:$G$224,7,FALSE)</x:f>
        <x:v>OK</x:v>
      </x:c>
      <x:c r="AA178" s="12" t="str">
        <x:f>IF(COUNTIFS('Milestones'!$A$2:$A$7,G178)&lt;&gt;1,"BAD GATE",IF(M178&lt;=VLOOKUP(G178,'Milestones'!$A$2:$C$7,3,FALSE),"OK","LATE"))</x:f>
        <x:v>OK</x:v>
      </x:c>
      <x:c r="AB178" s="12" t="n">
        <x:f>IF(OR(V178="Done",V178="Cut"),"",M178-TODAY())</x:f>
        <x:v>22</x:v>
      </x:c>
    </x:row>
    <x:row r="179" ht="90" customHeight="1">
      <x:c r="A179" s="7" t="str">
        <x:v>DEMO-RIC-R2</x:v>
      </x:c>
      <x:c r="B179" s="7" t="str">
        <x:v>Participate in rehearsal two and cross-module Q&amp;A</x:v>
      </x:c>
      <x:c r="C179" s="9" t="str">
        <x:v>Attend final run and answer questions outside own workstream.</x:v>
      </x:c>
      <x:c r="D179" s="9" t="str">
        <x:v>All assigned speaking and random Q&amp;A tasks completed; final checklist acknowledged.</x:v>
      </x:c>
      <x:c r="E179" s="7" t="str">
        <x:v>Demo</x:v>
      </x:c>
      <x:c r="F179" s="7" t="str">
        <x:v>C</x:v>
      </x:c>
      <x:c r="G179" s="7" t="str">
        <x:v>G5</x:v>
      </x:c>
      <x:c r="H179" s="7" t="str">
        <x:v>P0 must</x:v>
      </x:c>
      <x:c r="I179" s="7" t="str">
        <x:v>Ricky</x:v>
      </x:c>
      <x:c r="J179" s="7" t="str">
        <x:f>IF(VLOOKUP(I179,'Team'!$A$2:$B$7,2,FALSE)="","",VLOOKUP(I179,'Team'!$A$2:$B$7,2,FALSE))</x:f>
      </x:c>
      <x:c r="K179" s="7" t="str">
        <x:v>Saviour</x:v>
      </x:c>
      <x:c r="L179" s="10" t="n">
        <x:v>46326</x:v>
      </x:c>
      <x:c r="M179" s="10" t="n">
        <x:v>46326</x:v>
      </x:c>
      <x:c r="N179" s="11" t="n">
        <x:v>1</x:v>
      </x:c>
      <x:c r="O179" s="7" t="str">
        <x:v>DEMO-03</x:v>
      </x:c>
      <x:c r="P179" s="7" t="str"/>
      <x:c r="Q179" s="7" t="str">
        <x:v>N</x:v>
      </x:c>
      <x:c r="R179" s="7" t="str">
        <x:v>docs/demo-runbook.md</x:v>
      </x:c>
      <x:c r="S179" s="7" t="str">
        <x:v>Final rehearsal attendance</x:v>
      </x:c>
      <x:c r="T179" s="7" t="str">
        <x:v>Evidence and limitations</x:v>
      </x:c>
      <x:c r="U179" s="7" t="str">
        <x:v>workstream:c;priority:p0;category:demo</x:v>
      </x:c>
      <x:c r="V179" s="7" t="str">
        <x:v>Todo</x:v>
      </x:c>
      <x:c r="W179" s="7" t="str"/>
      <x:c r="X179" s="9" t="str">
        <x:v>Internal Sydney date. Estimate includes implementation, author checks and handoff; reviewer time is separately budgeted.</x:v>
      </x:c>
      <x:c r="Y179" s="12" t="n">
        <x:f>INT((M179-'Import Guide'!$B$3)/7)+1</x:f>
        <x:v>3</x:v>
      </x:c>
      <x:c r="Z179" s="12" t="str">
        <x:f>VLOOKUP(A179,'Dependencies'!$A$2:$G$224,7,FALSE)</x:f>
        <x:v>OK</x:v>
      </x:c>
      <x:c r="AA179" s="12" t="str">
        <x:f>IF(COUNTIFS('Milestones'!$A$2:$A$7,G179)&lt;&gt;1,"BAD GATE",IF(M179&lt;=VLOOKUP(G179,'Milestones'!$A$2:$C$7,3,FALSE),"OK","LATE"))</x:f>
        <x:v>OK</x:v>
      </x:c>
      <x:c r="AB179" s="12" t="n">
        <x:f>IF(OR(V179="Done",V179="Cut"),"",M179-TODAY())</x:f>
        <x:v>23</x:v>
      </x:c>
    </x:row>
    <x:row r="180" ht="90" customHeight="1">
      <x:c r="A180" s="7" t="str">
        <x:v>REV-ALA-1</x:v>
      </x:c>
      <x:c r="B180" s="7" t="str">
        <x:v>Review Mohammad work for Week 1</x:v>
      </x:c>
      <x:c r="C180" s="9" t="str">
        <x:v>Review partner PRs throughout the week, check interfaces and evidence; this row reserves total reviewer time.</x:v>
      </x:c>
      <x:c r="D180" s="9" t="str">
        <x:v>Focused reviews include reproducible checks and a recorded disposition; review backlog zero at gate.</x:v>
      </x:c>
      <x:c r="E180" s="7" t="str">
        <x:v>Process</x:v>
      </x:c>
      <x:c r="F180" s="7" t="str">
        <x:v>D</x:v>
      </x:c>
      <x:c r="G180" s="7" t="str">
        <x:v>G1</x:v>
      </x:c>
      <x:c r="H180" s="7" t="str">
        <x:v>P0 must</x:v>
      </x:c>
      <x:c r="I180" s="7" t="str">
        <x:v>Alan</x:v>
      </x:c>
      <x:c r="J180" s="7" t="str">
        <x:f>IF(VLOOKUP(I180,'Team'!$A$2:$B$7,2,FALSE)="","",VLOOKUP(I180,'Team'!$A$2:$B$7,2,FALSE))</x:f>
      </x:c>
      <x:c r="K180" s="7" t="str">
        <x:v>Mohammad</x:v>
      </x:c>
      <x:c r="L180" s="10" t="n">
        <x:v>46307</x:v>
      </x:c>
      <x:c r="M180" s="10" t="n">
        <x:v>46313</x:v>
      </x:c>
      <x:c r="N180" s="11" t="n">
        <x:v>3</x:v>
      </x:c>
      <x:c r="O180" s="7" t="str">
        <x:v>PROC-01</x:v>
      </x:c>
      <x:c r="P180" s="7" t="str"/>
      <x:c r="Q180" s="7" t="str">
        <x:v>N</x:v>
      </x:c>
      <x:c r="R180" s="7" t="str">
        <x:v>Pull requests; docs/reviews.md</x:v>
      </x:c>
      <x:c r="S180" s="7" t="str">
        <x:v>Week 1 review links</x:v>
      </x:c>
      <x:c r="T180" s="7" t="str">
        <x:v>Scope and rationale</x:v>
      </x:c>
      <x:c r="U180" s="7" t="str">
        <x:v>workstream:d;priority:p0;category:process</x:v>
      </x:c>
      <x:c r="V180" s="7" t="str">
        <x:v>Todo</x:v>
      </x:c>
      <x:c r="W180" s="7" t="str"/>
      <x:c r="X180" s="9" t="str">
        <x:v>Time budget spread across the week, not continuous work or all on due date. Reviews occur before dependent task starts. One row totals &lt;=3 h of short sessions. Same-day handoff: complete/review PROC-01 before starting this task.</x:v>
      </x:c>
      <x:c r="Y180" s="12" t="n">
        <x:f>INT((M180-'Import Guide'!$B$3)/7)+1</x:f>
        <x:v>1</x:v>
      </x:c>
      <x:c r="Z180" s="12" t="str">
        <x:f>VLOOKUP(A180,'Dependencies'!$A$2:$G$224,7,FALSE)</x:f>
        <x:v>OK</x:v>
      </x:c>
      <x:c r="AA180" s="12" t="str">
        <x:f>IF(COUNTIFS('Milestones'!$A$2:$A$7,G180)&lt;&gt;1,"BAD GATE",IF(M180&lt;=VLOOKUP(G180,'Milestones'!$A$2:$C$7,3,FALSE),"OK","LATE"))</x:f>
        <x:v>OK</x:v>
      </x:c>
      <x:c r="AB180" s="12" t="n">
        <x:f>IF(OR(V180="Done",V180="Cut"),"",M180-TODAY())</x:f>
        <x:v>10</x:v>
      </x:c>
    </x:row>
    <x:row r="181" ht="90" customHeight="1">
      <x:c r="A181" s="7" t="str">
        <x:v>COM-ALA-1</x:v>
      </x:c>
      <x:c r="B181" s="7" t="str">
        <x:v>Attend Week 1 integration and cross-training sessions</x:v>
      </x:c>
      <x:c r="C181" s="9" t="str">
        <x:v>Budget kickoff/check-ins and a paired explanation of one unfamiliar module; distribute time through the week.</x:v>
      </x:c>
      <x:c r="D181" s="9" t="str">
        <x:v>Decisions/blockers recorded; member can explain inputs, failure mode and test of partner module.</x:v>
      </x:c>
      <x:c r="E181" s="7" t="str">
        <x:v>Process</x:v>
      </x:c>
      <x:c r="F181" s="7" t="str">
        <x:v>D</x:v>
      </x:c>
      <x:c r="G181" s="7" t="str">
        <x:v>G1</x:v>
      </x:c>
      <x:c r="H181" s="7" t="str">
        <x:v>P0 must</x:v>
      </x:c>
      <x:c r="I181" s="7" t="str">
        <x:v>Alan</x:v>
      </x:c>
      <x:c r="J181" s="7" t="str">
        <x:f>IF(VLOOKUP(I181,'Team'!$A$2:$B$7,2,FALSE)="","",VLOOKUP(I181,'Team'!$A$2:$B$7,2,FALSE))</x:f>
      </x:c>
      <x:c r="K181" s="7" t="str">
        <x:v>Mohammad</x:v>
      </x:c>
      <x:c r="L181" s="10" t="n">
        <x:v>46307</x:v>
      </x:c>
      <x:c r="M181" s="10" t="n">
        <x:v>46313</x:v>
      </x:c>
      <x:c r="N181" s="11" t="n">
        <x:v>1.5</x:v>
      </x:c>
      <x:c r="O181" s="7" t="str"/>
      <x:c r="P181" s="7" t="str"/>
      <x:c r="Q181" s="7" t="str">
        <x:v>N</x:v>
      </x:c>
      <x:c r="R181" s="7" t="str">
        <x:v>docs/knowledge-matrix.md</x:v>
      </x:c>
      <x:c r="S181" s="7" t="str">
        <x:v>Week 1 cross-training record</x:v>
      </x:c>
      <x:c r="T181" s="7" t="str">
        <x:v>Scope and rationale</x:v>
      </x:c>
      <x:c r="U181" s="7" t="str">
        <x:v>workstream:d;priority:p0;category:process</x:v>
      </x:c>
      <x:c r="V181" s="7" t="str">
        <x:v>Todo</x:v>
      </x:c>
      <x:c r="W181" s="7" t="str"/>
      <x:c r="X181" s="9" t="str">
        <x:v>Time budget spread across the week, not continuous work or all on due date. Reviews occur before dependent task starts. One row totals &lt;=3 h of short sessions.</x:v>
      </x:c>
      <x:c r="Y181" s="12" t="n">
        <x:f>INT((M181-'Import Guide'!$B$3)/7)+1</x:f>
        <x:v>1</x:v>
      </x:c>
      <x:c r="Z181" s="12" t="str">
        <x:f>VLOOKUP(A181,'Dependencies'!$A$2:$G$224,7,FALSE)</x:f>
        <x:v>OK</x:v>
      </x:c>
      <x:c r="AA181" s="12" t="str">
        <x:f>IF(COUNTIFS('Milestones'!$A$2:$A$7,G181)&lt;&gt;1,"BAD GATE",IF(M181&lt;=VLOOKUP(G181,'Milestones'!$A$2:$C$7,3,FALSE),"OK","LATE"))</x:f>
        <x:v>OK</x:v>
      </x:c>
      <x:c r="AB181" s="12" t="n">
        <x:f>IF(OR(V181="Done",V181="Cut"),"",M181-TODAY())</x:f>
        <x:v>10</x:v>
      </x:c>
    </x:row>
    <x:row r="182" ht="90" customHeight="1">
      <x:c r="A182" s="7" t="str">
        <x:v>IND-ALA-AI1</x:v>
      </x:c>
      <x:c r="B182" s="7" t="str">
        <x:v>Check Week 1 AI Journal and commit disclosures</x:v>
      </x:c>
      <x:c r="C182" s="9" t="str">
        <x:v>Privately reconcile significant VSCode AI Journal entries with commits and reviews.</x:v>
      </x:c>
      <x:c r="D182" s="9" t="str">
        <x:v>All significant interactions recorded; AI-assisted footer names actual reviewer; journal content stays private.</x:v>
      </x:c>
      <x:c r="E182" s="7" t="str">
        <x:v>Individual</x:v>
      </x:c>
      <x:c r="F182" s="7" t="str">
        <x:v>D</x:v>
      </x:c>
      <x:c r="G182" s="7" t="str">
        <x:v>G1</x:v>
      </x:c>
      <x:c r="H182" s="7" t="str">
        <x:v>P0 must</x:v>
      </x:c>
      <x:c r="I182" s="7" t="str">
        <x:v>Alan</x:v>
      </x:c>
      <x:c r="J182" s="7" t="str">
        <x:f>IF(VLOOKUP(I182,'Team'!$A$2:$B$7,2,FALSE)="","",VLOOKUP(I182,'Team'!$A$2:$B$7,2,FALSE))</x:f>
      </x:c>
      <x:c r="K182" s="7" t="str">
        <x:v>Mohammad</x:v>
      </x:c>
      <x:c r="L182" s="10" t="n">
        <x:v>46313</x:v>
      </x:c>
      <x:c r="M182" s="10" t="n">
        <x:v>46313</x:v>
      </x:c>
      <x:c r="N182" s="11" t="n">
        <x:v>0.5</x:v>
      </x:c>
      <x:c r="O182" s="7" t="str"/>
      <x:c r="P182" s="7" t="str"/>
      <x:c r="Q182" s="7" t="str">
        <x:v>N</x:v>
      </x:c>
      <x:c r="R182" s="7" t="str">
        <x:v>Private AI Journal; commit history</x:v>
      </x:c>
      <x:c r="S182" s="7" t="str">
        <x:v>Private completion confirmation only</x:v>
      </x:c>
      <x:c r="T182" s="7" t="str">
        <x:v>Individual (private)</x:v>
      </x:c>
      <x:c r="U182" s="7" t="str">
        <x:v>workstream:d;priority:p0;category:individual</x:v>
      </x:c>
      <x:c r="V182" s="7" t="str">
        <x:v>Todo</x:v>
      </x:c>
      <x:c r="W182" s="7" t="str"/>
      <x:c r="X182" s="9" t="str">
        <x:v>Internal readiness date only. Actual Canvas/Week 13/SparkPLUS deadlines are unconfirmed. Public task stores no private reflection or assessment content.</x:v>
      </x:c>
      <x:c r="Y182" s="12" t="n">
        <x:f>INT((M182-'Import Guide'!$B$3)/7)+1</x:f>
        <x:v>1</x:v>
      </x:c>
      <x:c r="Z182" s="12" t="str">
        <x:f>VLOOKUP(A182,'Dependencies'!$A$2:$G$224,7,FALSE)</x:f>
        <x:v>OK</x:v>
      </x:c>
      <x:c r="AA182" s="12" t="str">
        <x:f>IF(COUNTIFS('Milestones'!$A$2:$A$7,G182)&lt;&gt;1,"BAD GATE",IF(M182&lt;=VLOOKUP(G182,'Milestones'!$A$2:$C$7,3,FALSE),"OK","LATE"))</x:f>
        <x:v>OK</x:v>
      </x:c>
      <x:c r="AB182" s="12" t="n">
        <x:f>IF(OR(V182="Done",V182="Cut"),"",M182-TODAY())</x:f>
        <x:v>10</x:v>
      </x:c>
    </x:row>
    <x:row r="183" ht="90" customHeight="1">
      <x:c r="A183" s="7" t="str">
        <x:v>REV-ALA-2</x:v>
      </x:c>
      <x:c r="B183" s="7" t="str">
        <x:v>Review Mohammad work for Week 2</x:v>
      </x:c>
      <x:c r="C183" s="9" t="str">
        <x:v>Review partner PRs throughout the week, check interfaces and evidence; this row reserves total reviewer time.</x:v>
      </x:c>
      <x:c r="D183" s="9" t="str">
        <x:v>Focused reviews include reproducible checks and a recorded disposition; review backlog zero at gate.</x:v>
      </x:c>
      <x:c r="E183" s="7" t="str">
        <x:v>Process</x:v>
      </x:c>
      <x:c r="F183" s="7" t="str">
        <x:v>D</x:v>
      </x:c>
      <x:c r="G183" s="7" t="str">
        <x:v>G3</x:v>
      </x:c>
      <x:c r="H183" s="7" t="str">
        <x:v>P0 must</x:v>
      </x:c>
      <x:c r="I183" s="7" t="str">
        <x:v>Alan</x:v>
      </x:c>
      <x:c r="J183" s="7" t="str">
        <x:f>IF(VLOOKUP(I183,'Team'!$A$2:$B$7,2,FALSE)="","",VLOOKUP(I183,'Team'!$A$2:$B$7,2,FALSE))</x:f>
      </x:c>
      <x:c r="K183" s="7" t="str">
        <x:v>Mohammad</x:v>
      </x:c>
      <x:c r="L183" s="10" t="n">
        <x:v>46314</x:v>
      </x:c>
      <x:c r="M183" s="10" t="n">
        <x:v>46320</x:v>
      </x:c>
      <x:c r="N183" s="11" t="n">
        <x:v>3</x:v>
      </x:c>
      <x:c r="O183" s="7" t="str">
        <x:v>PROC-01</x:v>
      </x:c>
      <x:c r="P183" s="7" t="str"/>
      <x:c r="Q183" s="7" t="str">
        <x:v>N</x:v>
      </x:c>
      <x:c r="R183" s="7" t="str">
        <x:v>Pull requests; docs/reviews.md</x:v>
      </x:c>
      <x:c r="S183" s="7" t="str">
        <x:v>Week 2 review links</x:v>
      </x:c>
      <x:c r="T183" s="7" t="str">
        <x:v>Scope and rationale</x:v>
      </x:c>
      <x:c r="U183" s="7" t="str">
        <x:v>workstream:d;priority:p0;category:process</x:v>
      </x:c>
      <x:c r="V183" s="7" t="str">
        <x:v>Todo</x:v>
      </x:c>
      <x:c r="W183" s="7" t="str"/>
      <x:c r="X183" s="9" t="str">
        <x:v>Time budget spread across the week, not continuous work or all on due date. Reviews occur before dependent task starts. One row totals &lt;=3 h of short sessions.</x:v>
      </x:c>
      <x:c r="Y183" s="12" t="n">
        <x:f>INT((M183-'Import Guide'!$B$3)/7)+1</x:f>
        <x:v>2</x:v>
      </x:c>
      <x:c r="Z183" s="12" t="str">
        <x:f>VLOOKUP(A183,'Dependencies'!$A$2:$G$224,7,FALSE)</x:f>
        <x:v>OK</x:v>
      </x:c>
      <x:c r="AA183" s="12" t="str">
        <x:f>IF(COUNTIFS('Milestones'!$A$2:$A$7,G183)&lt;&gt;1,"BAD GATE",IF(M183&lt;=VLOOKUP(G183,'Milestones'!$A$2:$C$7,3,FALSE),"OK","LATE"))</x:f>
        <x:v>OK</x:v>
      </x:c>
      <x:c r="AB183" s="12" t="n">
        <x:f>IF(OR(V183="Done",V183="Cut"),"",M183-TODAY())</x:f>
        <x:v>17</x:v>
      </x:c>
    </x:row>
    <x:row r="184" ht="90" customHeight="1">
      <x:c r="A184" s="7" t="str">
        <x:v>COM-ALA-2</x:v>
      </x:c>
      <x:c r="B184" s="7" t="str">
        <x:v>Attend Week 2 integration and cross-training sessions</x:v>
      </x:c>
      <x:c r="C184" s="9" t="str">
        <x:v>Budget kickoff/check-ins and a paired explanation of one unfamiliar module; distribute time through the week.</x:v>
      </x:c>
      <x:c r="D184" s="9" t="str">
        <x:v>Decisions/blockers recorded; member can explain inputs, failure mode and test of partner module.</x:v>
      </x:c>
      <x:c r="E184" s="7" t="str">
        <x:v>Process</x:v>
      </x:c>
      <x:c r="F184" s="7" t="str">
        <x:v>D</x:v>
      </x:c>
      <x:c r="G184" s="7" t="str">
        <x:v>G3</x:v>
      </x:c>
      <x:c r="H184" s="7" t="str">
        <x:v>P0 must</x:v>
      </x:c>
      <x:c r="I184" s="7" t="str">
        <x:v>Alan</x:v>
      </x:c>
      <x:c r="J184" s="7" t="str">
        <x:f>IF(VLOOKUP(I184,'Team'!$A$2:$B$7,2,FALSE)="","",VLOOKUP(I184,'Team'!$A$2:$B$7,2,FALSE))</x:f>
      </x:c>
      <x:c r="K184" s="7" t="str">
        <x:v>Mohammad</x:v>
      </x:c>
      <x:c r="L184" s="10" t="n">
        <x:v>46314</x:v>
      </x:c>
      <x:c r="M184" s="10" t="n">
        <x:v>46320</x:v>
      </x:c>
      <x:c r="N184" s="11" t="n">
        <x:v>1.5</x:v>
      </x:c>
      <x:c r="O184" s="7" t="str"/>
      <x:c r="P184" s="7" t="str"/>
      <x:c r="Q184" s="7" t="str">
        <x:v>N</x:v>
      </x:c>
      <x:c r="R184" s="7" t="str">
        <x:v>docs/knowledge-matrix.md</x:v>
      </x:c>
      <x:c r="S184" s="7" t="str">
        <x:v>Week 2 cross-training record</x:v>
      </x:c>
      <x:c r="T184" s="7" t="str">
        <x:v>Scope and rationale</x:v>
      </x:c>
      <x:c r="U184" s="7" t="str">
        <x:v>workstream:d;priority:p0;category:process</x:v>
      </x:c>
      <x:c r="V184" s="7" t="str">
        <x:v>Todo</x:v>
      </x:c>
      <x:c r="W184" s="7" t="str"/>
      <x:c r="X184" s="9" t="str">
        <x:v>Time budget spread across the week, not continuous work or all on due date. Reviews occur before dependent task starts. One row totals &lt;=3 h of short sessions.</x:v>
      </x:c>
      <x:c r="Y184" s="12" t="n">
        <x:f>INT((M184-'Import Guide'!$B$3)/7)+1</x:f>
        <x:v>2</x:v>
      </x:c>
      <x:c r="Z184" s="12" t="str">
        <x:f>VLOOKUP(A184,'Dependencies'!$A$2:$G$224,7,FALSE)</x:f>
        <x:v>OK</x:v>
      </x:c>
      <x:c r="AA184" s="12" t="str">
        <x:f>IF(COUNTIFS('Milestones'!$A$2:$A$7,G184)&lt;&gt;1,"BAD GATE",IF(M184&lt;=VLOOKUP(G184,'Milestones'!$A$2:$C$7,3,FALSE),"OK","LATE"))</x:f>
        <x:v>OK</x:v>
      </x:c>
      <x:c r="AB184" s="12" t="n">
        <x:f>IF(OR(V184="Done",V184="Cut"),"",M184-TODAY())</x:f>
        <x:v>17</x:v>
      </x:c>
    </x:row>
    <x:row r="185" ht="90" customHeight="1">
      <x:c r="A185" s="7" t="str">
        <x:v>IND-ALA-AI2</x:v>
      </x:c>
      <x:c r="B185" s="7" t="str">
        <x:v>Check Week 2 AI Journal and commit disclosures</x:v>
      </x:c>
      <x:c r="C185" s="9" t="str">
        <x:v>Privately reconcile significant VSCode AI Journal entries with commits and reviews.</x:v>
      </x:c>
      <x:c r="D185" s="9" t="str">
        <x:v>All significant interactions recorded; AI-assisted footer names actual reviewer; journal content stays private.</x:v>
      </x:c>
      <x:c r="E185" s="7" t="str">
        <x:v>Individual</x:v>
      </x:c>
      <x:c r="F185" s="7" t="str">
        <x:v>D</x:v>
      </x:c>
      <x:c r="G185" s="7" t="str">
        <x:v>G3</x:v>
      </x:c>
      <x:c r="H185" s="7" t="str">
        <x:v>P0 must</x:v>
      </x:c>
      <x:c r="I185" s="7" t="str">
        <x:v>Alan</x:v>
      </x:c>
      <x:c r="J185" s="7" t="str">
        <x:f>IF(VLOOKUP(I185,'Team'!$A$2:$B$7,2,FALSE)="","",VLOOKUP(I185,'Team'!$A$2:$B$7,2,FALSE))</x:f>
      </x:c>
      <x:c r="K185" s="7" t="str">
        <x:v>Mohammad</x:v>
      </x:c>
      <x:c r="L185" s="10" t="n">
        <x:v>46320</x:v>
      </x:c>
      <x:c r="M185" s="10" t="n">
        <x:v>46320</x:v>
      </x:c>
      <x:c r="N185" s="11" t="n">
        <x:v>0.5</x:v>
      </x:c>
      <x:c r="O185" s="7" t="str"/>
      <x:c r="P185" s="7" t="str"/>
      <x:c r="Q185" s="7" t="str">
        <x:v>N</x:v>
      </x:c>
      <x:c r="R185" s="7" t="str">
        <x:v>Private AI Journal; commit history</x:v>
      </x:c>
      <x:c r="S185" s="7" t="str">
        <x:v>Private completion confirmation only</x:v>
      </x:c>
      <x:c r="T185" s="7" t="str">
        <x:v>Individual (private)</x:v>
      </x:c>
      <x:c r="U185" s="7" t="str">
        <x:v>workstream:d;priority:p0;category:individual</x:v>
      </x:c>
      <x:c r="V185" s="7" t="str">
        <x:v>Todo</x:v>
      </x:c>
      <x:c r="W185" s="7" t="str"/>
      <x:c r="X185" s="9" t="str">
        <x:v>Internal readiness date only. Actual Canvas/Week 13/SparkPLUS deadlines are unconfirmed. Public task stores no private reflection or assessment content.</x:v>
      </x:c>
      <x:c r="Y185" s="12" t="n">
        <x:f>INT((M185-'Import Guide'!$B$3)/7)+1</x:f>
        <x:v>2</x:v>
      </x:c>
      <x:c r="Z185" s="12" t="str">
        <x:f>VLOOKUP(A185,'Dependencies'!$A$2:$G$224,7,FALSE)</x:f>
        <x:v>OK</x:v>
      </x:c>
      <x:c r="AA185" s="12" t="str">
        <x:f>IF(COUNTIFS('Milestones'!$A$2:$A$7,G185)&lt;&gt;1,"BAD GATE",IF(M185&lt;=VLOOKUP(G185,'Milestones'!$A$2:$C$7,3,FALSE),"OK","LATE"))</x:f>
        <x:v>OK</x:v>
      </x:c>
      <x:c r="AB185" s="12" t="n">
        <x:f>IF(OR(V185="Done",V185="Cut"),"",M185-TODAY())</x:f>
        <x:v>17</x:v>
      </x:c>
    </x:row>
    <x:row r="186" ht="90" customHeight="1">
      <x:c r="A186" s="7" t="str">
        <x:v>REV-ALA-3</x:v>
      </x:c>
      <x:c r="B186" s="7" t="str">
        <x:v>Review Mohammad work for Week 3</x:v>
      </x:c>
      <x:c r="C186" s="9" t="str">
        <x:v>Review partner PRs throughout the week, check interfaces and evidence; this row reserves total reviewer time.</x:v>
      </x:c>
      <x:c r="D186" s="9" t="str">
        <x:v>Focused reviews include reproducible checks and a recorded disposition; review backlog zero at gate.</x:v>
      </x:c>
      <x:c r="E186" s="7" t="str">
        <x:v>Process</x:v>
      </x:c>
      <x:c r="F186" s="7" t="str">
        <x:v>D</x:v>
      </x:c>
      <x:c r="G186" s="7" t="str">
        <x:v>G5</x:v>
      </x:c>
      <x:c r="H186" s="7" t="str">
        <x:v>P0 must</x:v>
      </x:c>
      <x:c r="I186" s="7" t="str">
        <x:v>Alan</x:v>
      </x:c>
      <x:c r="J186" s="7" t="str">
        <x:f>IF(VLOOKUP(I186,'Team'!$A$2:$B$7,2,FALSE)="","",VLOOKUP(I186,'Team'!$A$2:$B$7,2,FALSE))</x:f>
      </x:c>
      <x:c r="K186" s="7" t="str">
        <x:v>Mohammad</x:v>
      </x:c>
      <x:c r="L186" s="10" t="n">
        <x:v>46321</x:v>
      </x:c>
      <x:c r="M186" s="10" t="n">
        <x:v>46326</x:v>
      </x:c>
      <x:c r="N186" s="11" t="n">
        <x:v>3</x:v>
      </x:c>
      <x:c r="O186" s="7" t="str">
        <x:v>PROC-01</x:v>
      </x:c>
      <x:c r="P186" s="7" t="str"/>
      <x:c r="Q186" s="7" t="str">
        <x:v>N</x:v>
      </x:c>
      <x:c r="R186" s="7" t="str">
        <x:v>Pull requests; docs/reviews.md</x:v>
      </x:c>
      <x:c r="S186" s="7" t="str">
        <x:v>Week 3 review links</x:v>
      </x:c>
      <x:c r="T186" s="7" t="str">
        <x:v>Scope and rationale</x:v>
      </x:c>
      <x:c r="U186" s="7" t="str">
        <x:v>workstream:d;priority:p0;category:process</x:v>
      </x:c>
      <x:c r="V186" s="7" t="str">
        <x:v>Todo</x:v>
      </x:c>
      <x:c r="W186" s="7" t="str"/>
      <x:c r="X186" s="9" t="str">
        <x:v>Time budget spread across the week, not continuous work or all on due date. Reviews occur before dependent task starts. One row totals &lt;=3 h of short sessions.</x:v>
      </x:c>
      <x:c r="Y186" s="12" t="n">
        <x:f>INT((M186-'Import Guide'!$B$3)/7)+1</x:f>
        <x:v>3</x:v>
      </x:c>
      <x:c r="Z186" s="12" t="str">
        <x:f>VLOOKUP(A186,'Dependencies'!$A$2:$G$224,7,FALSE)</x:f>
        <x:v>OK</x:v>
      </x:c>
      <x:c r="AA186" s="12" t="str">
        <x:f>IF(COUNTIFS('Milestones'!$A$2:$A$7,G186)&lt;&gt;1,"BAD GATE",IF(M186&lt;=VLOOKUP(G186,'Milestones'!$A$2:$C$7,3,FALSE),"OK","LATE"))</x:f>
        <x:v>OK</x:v>
      </x:c>
      <x:c r="AB186" s="12" t="n">
        <x:f>IF(OR(V186="Done",V186="Cut"),"",M186-TODAY())</x:f>
        <x:v>23</x:v>
      </x:c>
    </x:row>
    <x:row r="187" ht="90" customHeight="1">
      <x:c r="A187" s="7" t="str">
        <x:v>COM-ALA-3</x:v>
      </x:c>
      <x:c r="B187" s="7" t="str">
        <x:v>Attend Week 3 integration and cross-training sessions</x:v>
      </x:c>
      <x:c r="C187" s="9" t="str">
        <x:v>Budget kickoff/check-ins and a paired explanation of one unfamiliar module; distribute time through the week.</x:v>
      </x:c>
      <x:c r="D187" s="9" t="str">
        <x:v>Decisions/blockers recorded; member can explain inputs, failure mode and test of partner module.</x:v>
      </x:c>
      <x:c r="E187" s="7" t="str">
        <x:v>Process</x:v>
      </x:c>
      <x:c r="F187" s="7" t="str">
        <x:v>D</x:v>
      </x:c>
      <x:c r="G187" s="7" t="str">
        <x:v>G5</x:v>
      </x:c>
      <x:c r="H187" s="7" t="str">
        <x:v>P0 must</x:v>
      </x:c>
      <x:c r="I187" s="7" t="str">
        <x:v>Alan</x:v>
      </x:c>
      <x:c r="J187" s="7" t="str">
        <x:f>IF(VLOOKUP(I187,'Team'!$A$2:$B$7,2,FALSE)="","",VLOOKUP(I187,'Team'!$A$2:$B$7,2,FALSE))</x:f>
      </x:c>
      <x:c r="K187" s="7" t="str">
        <x:v>Mohammad</x:v>
      </x:c>
      <x:c r="L187" s="10" t="n">
        <x:v>46321</x:v>
      </x:c>
      <x:c r="M187" s="10" t="n">
        <x:v>46326</x:v>
      </x:c>
      <x:c r="N187" s="11" t="n">
        <x:v>1.5</x:v>
      </x:c>
      <x:c r="O187" s="7" t="str"/>
      <x:c r="P187" s="7" t="str"/>
      <x:c r="Q187" s="7" t="str">
        <x:v>N</x:v>
      </x:c>
      <x:c r="R187" s="7" t="str">
        <x:v>docs/knowledge-matrix.md</x:v>
      </x:c>
      <x:c r="S187" s="7" t="str">
        <x:v>Week 3 cross-training record</x:v>
      </x:c>
      <x:c r="T187" s="7" t="str">
        <x:v>Scope and rationale</x:v>
      </x:c>
      <x:c r="U187" s="7" t="str">
        <x:v>workstream:d;priority:p0;category:process</x:v>
      </x:c>
      <x:c r="V187" s="7" t="str">
        <x:v>Todo</x:v>
      </x:c>
      <x:c r="W187" s="7" t="str"/>
      <x:c r="X187" s="9" t="str">
        <x:v>Time budget spread across the week, not continuous work or all on due date. Reviews occur before dependent task starts. One row totals &lt;=3 h of short sessions.</x:v>
      </x:c>
      <x:c r="Y187" s="12" t="n">
        <x:f>INT((M187-'Import Guide'!$B$3)/7)+1</x:f>
        <x:v>3</x:v>
      </x:c>
      <x:c r="Z187" s="12" t="str">
        <x:f>VLOOKUP(A187,'Dependencies'!$A$2:$G$224,7,FALSE)</x:f>
        <x:v>OK</x:v>
      </x:c>
      <x:c r="AA187" s="12" t="str">
        <x:f>IF(COUNTIFS('Milestones'!$A$2:$A$7,G187)&lt;&gt;1,"BAD GATE",IF(M187&lt;=VLOOKUP(G187,'Milestones'!$A$2:$C$7,3,FALSE),"OK","LATE"))</x:f>
        <x:v>OK</x:v>
      </x:c>
      <x:c r="AB187" s="12" t="n">
        <x:f>IF(OR(V187="Done",V187="Cut"),"",M187-TODAY())</x:f>
        <x:v>23</x:v>
      </x:c>
    </x:row>
    <x:row r="188" ht="90" customHeight="1">
      <x:c r="A188" s="7" t="str">
        <x:v>IND-ALA-AI3</x:v>
      </x:c>
      <x:c r="B188" s="7" t="str">
        <x:v>Check Week 3 AI Journal and commit disclosures</x:v>
      </x:c>
      <x:c r="C188" s="9" t="str">
        <x:v>Privately reconcile significant VSCode AI Journal entries with commits and reviews.</x:v>
      </x:c>
      <x:c r="D188" s="9" t="str">
        <x:v>All significant interactions recorded; AI-assisted footer names actual reviewer; journal content stays private.</x:v>
      </x:c>
      <x:c r="E188" s="7" t="str">
        <x:v>Individual</x:v>
      </x:c>
      <x:c r="F188" s="7" t="str">
        <x:v>D</x:v>
      </x:c>
      <x:c r="G188" s="7" t="str">
        <x:v>G5</x:v>
      </x:c>
      <x:c r="H188" s="7" t="str">
        <x:v>P0 must</x:v>
      </x:c>
      <x:c r="I188" s="7" t="str">
        <x:v>Alan</x:v>
      </x:c>
      <x:c r="J188" s="7" t="str">
        <x:f>IF(VLOOKUP(I188,'Team'!$A$2:$B$7,2,FALSE)="","",VLOOKUP(I188,'Team'!$A$2:$B$7,2,FALSE))</x:f>
      </x:c>
      <x:c r="K188" s="7" t="str">
        <x:v>Mohammad</x:v>
      </x:c>
      <x:c r="L188" s="10" t="n">
        <x:v>46326</x:v>
      </x:c>
      <x:c r="M188" s="10" t="n">
        <x:v>46326</x:v>
      </x:c>
      <x:c r="N188" s="11" t="n">
        <x:v>0.5</x:v>
      </x:c>
      <x:c r="O188" s="7" t="str"/>
      <x:c r="P188" s="7" t="str"/>
      <x:c r="Q188" s="7" t="str">
        <x:v>N</x:v>
      </x:c>
      <x:c r="R188" s="7" t="str">
        <x:v>Private AI Journal; commit history</x:v>
      </x:c>
      <x:c r="S188" s="7" t="str">
        <x:v>Private completion confirmation only</x:v>
      </x:c>
      <x:c r="T188" s="7" t="str">
        <x:v>Individual (private)</x:v>
      </x:c>
      <x:c r="U188" s="7" t="str">
        <x:v>workstream:d;priority:p0;category:individual</x:v>
      </x:c>
      <x:c r="V188" s="7" t="str">
        <x:v>Todo</x:v>
      </x:c>
      <x:c r="W188" s="7" t="str"/>
      <x:c r="X188" s="9" t="str">
        <x:v>Internal readiness date only. Actual Canvas/Week 13/SparkPLUS deadlines are unconfirmed. Public task stores no private reflection or assessment content.</x:v>
      </x:c>
      <x:c r="Y188" s="12" t="n">
        <x:f>INT((M188-'Import Guide'!$B$3)/7)+1</x:f>
        <x:v>3</x:v>
      </x:c>
      <x:c r="Z188" s="12" t="str">
        <x:f>VLOOKUP(A188,'Dependencies'!$A$2:$G$224,7,FALSE)</x:f>
        <x:v>OK</x:v>
      </x:c>
      <x:c r="AA188" s="12" t="str">
        <x:f>IF(COUNTIFS('Milestones'!$A$2:$A$7,G188)&lt;&gt;1,"BAD GATE",IF(M188&lt;=VLOOKUP(G188,'Milestones'!$A$2:$C$7,3,FALSE),"OK","LATE"))</x:f>
        <x:v>OK</x:v>
      </x:c>
      <x:c r="AB188" s="12" t="n">
        <x:f>IF(OR(V188="Done",V188="Cut"),"",M188-TODAY())</x:f>
        <x:v>23</x:v>
      </x:c>
    </x:row>
    <x:row r="189" ht="90" customHeight="1">
      <x:c r="A189" s="7" t="str">
        <x:v>IND-ALA-REF</x:v>
      </x:c>
      <x:c r="B189" s="7" t="str">
        <x:v>Draft and privately check individual self-reflection</x:v>
      </x:c>
      <x:c r="C189" s="9" t="str">
        <x:v>Address contribution links, challenge/learning and specific AI Journal entries; this is readiness, not assumed submission.</x:v>
      </x:c>
      <x:c r="D189" s="9" t="str">
        <x:v>At most 1 page and 400 words; private file ready for actual Canvas deadline.</x:v>
      </x:c>
      <x:c r="E189" s="7" t="str">
        <x:v>Individual</x:v>
      </x:c>
      <x:c r="F189" s="7" t="str">
        <x:v>D</x:v>
      </x:c>
      <x:c r="G189" s="7" t="str">
        <x:v>G5</x:v>
      </x:c>
      <x:c r="H189" s="7" t="str">
        <x:v>P0 must</x:v>
      </x:c>
      <x:c r="I189" s="7" t="str">
        <x:v>Alan</x:v>
      </x:c>
      <x:c r="J189" s="7" t="str">
        <x:f>IF(VLOOKUP(I189,'Team'!$A$2:$B$7,2,FALSE)="","",VLOOKUP(I189,'Team'!$A$2:$B$7,2,FALSE))</x:f>
      </x:c>
      <x:c r="K189" s="7" t="str">
        <x:v>Mohammad</x:v>
      </x:c>
      <x:c r="L189" s="10" t="n">
        <x:v>46325</x:v>
      </x:c>
      <x:c r="M189" s="10" t="n">
        <x:v>46325</x:v>
      </x:c>
      <x:c r="N189" s="11" t="n">
        <x:v>1</x:v>
      </x:c>
      <x:c r="O189" s="7" t="str"/>
      <x:c r="P189" s="7" t="str"/>
      <x:c r="Q189" s="7" t="str">
        <x:v>N</x:v>
      </x:c>
      <x:c r="R189" s="7" t="str">
        <x:v>Private self-reflection</x:v>
      </x:c>
      <x:c r="S189" s="7" t="str">
        <x:v>Private completion confirmation only</x:v>
      </x:c>
      <x:c r="T189" s="7" t="str">
        <x:v>Individual (private)</x:v>
      </x:c>
      <x:c r="U189" s="7" t="str">
        <x:v>workstream:d;priority:p0;category:individual</x:v>
      </x:c>
      <x:c r="V189" s="7" t="str">
        <x:v>Todo</x:v>
      </x:c>
      <x:c r="W189" s="7" t="str"/>
      <x:c r="X189" s="9" t="str">
        <x:v>Internal readiness date only. Actual Canvas/Week 13/SparkPLUS deadlines are unconfirmed. Public task stores no private reflection or assessment content.</x:v>
      </x:c>
      <x:c r="Y189" s="12" t="n">
        <x:f>INT((M189-'Import Guide'!$B$3)/7)+1</x:f>
        <x:v>3</x:v>
      </x:c>
      <x:c r="Z189" s="12" t="str">
        <x:f>VLOOKUP(A189,'Dependencies'!$A$2:$G$224,7,FALSE)</x:f>
        <x:v>OK</x:v>
      </x:c>
      <x:c r="AA189" s="12" t="str">
        <x:f>IF(COUNTIFS('Milestones'!$A$2:$A$7,G189)&lt;&gt;1,"BAD GATE",IF(M189&lt;=VLOOKUP(G189,'Milestones'!$A$2:$C$7,3,FALSE),"OK","LATE"))</x:f>
        <x:v>OK</x:v>
      </x:c>
      <x:c r="AB189" s="12" t="n">
        <x:f>IF(OR(V189="Done",V189="Cut"),"",M189-TODAY())</x:f>
        <x:v>22</x:v>
      </x:c>
    </x:row>
    <x:row r="190" ht="90" customHeight="1">
      <x:c r="A190" s="7" t="str">
        <x:v>IND-ALA-PEER</x:v>
      </x:c>
      <x:c r="B190" s="7" t="str">
        <x:v>Prepare peer-reflection forms and verify lab attendance</x:v>
      </x:c>
      <x:c r="C190" s="9" t="str">
        <x:v>Arrange attendance and two-other-team forms for actual Week 13 lab; completion occurs at the lab.</x:v>
      </x:c>
      <x:c r="D190" s="9" t="str">
        <x:v>Lab slot and at least two-team peer-reflection obligation recorded privately; actual lab task remains pending.</x:v>
      </x:c>
      <x:c r="E190" s="7" t="str">
        <x:v>Individual</x:v>
      </x:c>
      <x:c r="F190" s="7" t="str">
        <x:v>D</x:v>
      </x:c>
      <x:c r="G190" s="7" t="str">
        <x:v>G5</x:v>
      </x:c>
      <x:c r="H190" s="7" t="str">
        <x:v>P0 must</x:v>
      </x:c>
      <x:c r="I190" s="7" t="str">
        <x:v>Alan</x:v>
      </x:c>
      <x:c r="J190" s="7" t="str">
        <x:f>IF(VLOOKUP(I190,'Team'!$A$2:$B$7,2,FALSE)="","",VLOOKUP(I190,'Team'!$A$2:$B$7,2,FALSE))</x:f>
      </x:c>
      <x:c r="K190" s="7" t="str">
        <x:v>Mohammad</x:v>
      </x:c>
      <x:c r="L190" s="10" t="n">
        <x:v>46326</x:v>
      </x:c>
      <x:c r="M190" s="10" t="n">
        <x:v>46326</x:v>
      </x:c>
      <x:c r="N190" s="11" t="n">
        <x:v>0.25</x:v>
      </x:c>
      <x:c r="O190" s="7" t="str"/>
      <x:c r="P190" s="7" t="str"/>
      <x:c r="Q190" s="7" t="str">
        <x:v>N</x:v>
      </x:c>
      <x:c r="R190" s="7" t="str">
        <x:v>Private Canvas checklist</x:v>
      </x:c>
      <x:c r="S190" s="7" t="str">
        <x:v>Prepared confirmation only</x:v>
      </x:c>
      <x:c r="T190" s="7" t="str">
        <x:v>Individual (private)</x:v>
      </x:c>
      <x:c r="U190" s="7" t="str">
        <x:v>workstream:d;priority:p0;category:individual</x:v>
      </x:c>
      <x:c r="V190" s="7" t="str">
        <x:v>Todo</x:v>
      </x:c>
      <x:c r="W190" s="7" t="str"/>
      <x:c r="X190" s="9" t="str">
        <x:v>Internal readiness date only. Actual Canvas/Week 13/SparkPLUS deadlines are unconfirmed. Public task stores no private reflection or assessment content.</x:v>
      </x:c>
      <x:c r="Y190" s="12" t="n">
        <x:f>INT((M190-'Import Guide'!$B$3)/7)+1</x:f>
        <x:v>3</x:v>
      </x:c>
      <x:c r="Z190" s="12" t="str">
        <x:f>VLOOKUP(A190,'Dependencies'!$A$2:$G$224,7,FALSE)</x:f>
        <x:v>OK</x:v>
      </x:c>
      <x:c r="AA190" s="12" t="str">
        <x:f>IF(COUNTIFS('Milestones'!$A$2:$A$7,G190)&lt;&gt;1,"BAD GATE",IF(M190&lt;=VLOOKUP(G190,'Milestones'!$A$2:$C$7,3,FALSE),"OK","LATE"))</x:f>
        <x:v>OK</x:v>
      </x:c>
      <x:c r="AB190" s="12" t="n">
        <x:f>IF(OR(V190="Done",V190="Cut"),"",M190-TODAY())</x:f>
        <x:v>23</x:v>
      </x:c>
    </x:row>
    <x:row r="191" ht="90" customHeight="1">
      <x:c r="A191" s="7" t="str">
        <x:v>IND-ALA-SPARK</x:v>
      </x:c>
      <x:c r="B191" s="7" t="str">
        <x:v>Verify SparkPLUS deadline and personal submission reminder</x:v>
      </x:c>
      <x:c r="C191" s="9" t="str">
        <x:v>Check Canvas portal deadline and availability; schedule own reminder; never submit another member's assessment.</x:v>
      </x:c>
      <x:c r="D191" s="9" t="str">
        <x:v>Actual deadline copied privately and reminder set by member; readiness is distinct from completed assessment.</x:v>
      </x:c>
      <x:c r="E191" s="7" t="str">
        <x:v>Individual</x:v>
      </x:c>
      <x:c r="F191" s="7" t="str">
        <x:v>D</x:v>
      </x:c>
      <x:c r="G191" s="7" t="str">
        <x:v>G5</x:v>
      </x:c>
      <x:c r="H191" s="7" t="str">
        <x:v>P0 must</x:v>
      </x:c>
      <x:c r="I191" s="7" t="str">
        <x:v>Alan</x:v>
      </x:c>
      <x:c r="J191" s="7" t="str">
        <x:f>IF(VLOOKUP(I191,'Team'!$A$2:$B$7,2,FALSE)="","",VLOOKUP(I191,'Team'!$A$2:$B$7,2,FALSE))</x:f>
      </x:c>
      <x:c r="K191" s="7" t="str">
        <x:v>Mohammad</x:v>
      </x:c>
      <x:c r="L191" s="10" t="n">
        <x:v>46326</x:v>
      </x:c>
      <x:c r="M191" s="10" t="n">
        <x:v>46326</x:v>
      </x:c>
      <x:c r="N191" s="11" t="n">
        <x:v>0.25</x:v>
      </x:c>
      <x:c r="O191" s="7" t="str"/>
      <x:c r="P191" s="7" t="str"/>
      <x:c r="Q191" s="7" t="str">
        <x:v>N</x:v>
      </x:c>
      <x:c r="R191" s="7" t="str">
        <x:v>Private Canvas checklist</x:v>
      </x:c>
      <x:c r="S191" s="7" t="str">
        <x:v>Deadline verified confirmation only</x:v>
      </x:c>
      <x:c r="T191" s="7" t="str">
        <x:v>Individual (private)</x:v>
      </x:c>
      <x:c r="U191" s="7" t="str">
        <x:v>workstream:d;priority:p0;category:individual</x:v>
      </x:c>
      <x:c r="V191" s="7" t="str">
        <x:v>Todo</x:v>
      </x:c>
      <x:c r="W191" s="7" t="str"/>
      <x:c r="X191" s="9" t="str">
        <x:v>Internal readiness date only. Actual Canvas/Week 13/SparkPLUS deadlines are unconfirmed. Public task stores no private reflection or assessment content.</x:v>
      </x:c>
      <x:c r="Y191" s="12" t="n">
        <x:f>INT((M191-'Import Guide'!$B$3)/7)+1</x:f>
        <x:v>3</x:v>
      </x:c>
      <x:c r="Z191" s="12" t="str">
        <x:f>VLOOKUP(A191,'Dependencies'!$A$2:$G$224,7,FALSE)</x:f>
        <x:v>OK</x:v>
      </x:c>
      <x:c r="AA191" s="12" t="str">
        <x:f>IF(COUNTIFS('Milestones'!$A$2:$A$7,G191)&lt;&gt;1,"BAD GATE",IF(M191&lt;=VLOOKUP(G191,'Milestones'!$A$2:$C$7,3,FALSE),"OK","LATE"))</x:f>
        <x:v>OK</x:v>
      </x:c>
      <x:c r="AB191" s="12" t="n">
        <x:f>IF(OR(V191="Done",V191="Cut"),"",M191-TODAY())</x:f>
        <x:v>23</x:v>
      </x:c>
    </x:row>
    <x:row r="192" ht="90" customHeight="1">
      <x:c r="A192" s="7" t="str">
        <x:v>DEMO-ALA-R1</x:v>
      </x:c>
      <x:c r="B192" s="7" t="str">
        <x:v>Participate in rehearsal one and random Q&amp;A</x:v>
      </x:c>
      <x:c r="C192" s="9" t="str">
        <x:v>Attend the full timed demo; driver runs CARLA while other members present and answer.</x:v>
      </x:c>
      <x:c r="D192" s="9" t="str">
        <x:v>Attendance and own timing/knowledge gaps recorded; backup playback practised.</x:v>
      </x:c>
      <x:c r="E192" s="7" t="str">
        <x:v>Demo</x:v>
      </x:c>
      <x:c r="F192" s="7" t="str">
        <x:v>D</x:v>
      </x:c>
      <x:c r="G192" s="7" t="str">
        <x:v>G5</x:v>
      </x:c>
      <x:c r="H192" s="7" t="str">
        <x:v>P0 must</x:v>
      </x:c>
      <x:c r="I192" s="7" t="str">
        <x:v>Alan</x:v>
      </x:c>
      <x:c r="J192" s="7" t="str">
        <x:f>IF(VLOOKUP(I192,'Team'!$A$2:$B$7,2,FALSE)="","",VLOOKUP(I192,'Team'!$A$2:$B$7,2,FALSE))</x:f>
      </x:c>
      <x:c r="K192" s="7" t="str">
        <x:v>Mohammad</x:v>
      </x:c>
      <x:c r="L192" s="10" t="n">
        <x:v>46325</x:v>
      </x:c>
      <x:c r="M192" s="10" t="n">
        <x:v>46325</x:v>
      </x:c>
      <x:c r="N192" s="11" t="n">
        <x:v>1</x:v>
      </x:c>
      <x:c r="O192" s="7" t="str">
        <x:v>DEMO-02</x:v>
      </x:c>
      <x:c r="P192" s="7" t="str"/>
      <x:c r="Q192" s="7" t="str">
        <x:v>N</x:v>
      </x:c>
      <x:c r="R192" s="7" t="str">
        <x:v>docs/demo-runbook.md</x:v>
      </x:c>
      <x:c r="S192" s="7" t="str">
        <x:v>Rehearsal attendance</x:v>
      </x:c>
      <x:c r="T192" s="7" t="str">
        <x:v>Evidence and limitations</x:v>
      </x:c>
      <x:c r="U192" s="7" t="str">
        <x:v>workstream:d;priority:p0;category:demo</x:v>
      </x:c>
      <x:c r="V192" s="7" t="str">
        <x:v>Todo</x:v>
      </x:c>
      <x:c r="W192" s="7" t="str"/>
      <x:c r="X192" s="9" t="str">
        <x:v>Internal Sydney date. Estimate includes implementation, author checks and handoff; reviewer time is separately budgeted.</x:v>
      </x:c>
      <x:c r="Y192" s="12" t="n">
        <x:f>INT((M192-'Import Guide'!$B$3)/7)+1</x:f>
        <x:v>3</x:v>
      </x:c>
      <x:c r="Z192" s="12" t="str">
        <x:f>VLOOKUP(A192,'Dependencies'!$A$2:$G$224,7,FALSE)</x:f>
        <x:v>OK</x:v>
      </x:c>
      <x:c r="AA192" s="12" t="str">
        <x:f>IF(COUNTIFS('Milestones'!$A$2:$A$7,G192)&lt;&gt;1,"BAD GATE",IF(M192&lt;=VLOOKUP(G192,'Milestones'!$A$2:$C$7,3,FALSE),"OK","LATE"))</x:f>
        <x:v>OK</x:v>
      </x:c>
      <x:c r="AB192" s="12" t="n">
        <x:f>IF(OR(V192="Done",V192="Cut"),"",M192-TODAY())</x:f>
        <x:v>22</x:v>
      </x:c>
    </x:row>
    <x:row r="193" ht="90" customHeight="1">
      <x:c r="A193" s="7" t="str">
        <x:v>DEMO-ALA-R2</x:v>
      </x:c>
      <x:c r="B193" s="7" t="str">
        <x:v>Participate in rehearsal two and cross-module Q&amp;A</x:v>
      </x:c>
      <x:c r="C193" s="9" t="str">
        <x:v>Attend final run and answer questions outside own workstream.</x:v>
      </x:c>
      <x:c r="D193" s="9" t="str">
        <x:v>All assigned speaking and random Q&amp;A tasks completed; final checklist acknowledged.</x:v>
      </x:c>
      <x:c r="E193" s="7" t="str">
        <x:v>Demo</x:v>
      </x:c>
      <x:c r="F193" s="7" t="str">
        <x:v>D</x:v>
      </x:c>
      <x:c r="G193" s="7" t="str">
        <x:v>G5</x:v>
      </x:c>
      <x:c r="H193" s="7" t="str">
        <x:v>P0 must</x:v>
      </x:c>
      <x:c r="I193" s="7" t="str">
        <x:v>Alan</x:v>
      </x:c>
      <x:c r="J193" s="7" t="str">
        <x:f>IF(VLOOKUP(I193,'Team'!$A$2:$B$7,2,FALSE)="","",VLOOKUP(I193,'Team'!$A$2:$B$7,2,FALSE))</x:f>
      </x:c>
      <x:c r="K193" s="7" t="str">
        <x:v>Mohammad</x:v>
      </x:c>
      <x:c r="L193" s="10" t="n">
        <x:v>46326</x:v>
      </x:c>
      <x:c r="M193" s="10" t="n">
        <x:v>46326</x:v>
      </x:c>
      <x:c r="N193" s="11" t="n">
        <x:v>1</x:v>
      </x:c>
      <x:c r="O193" s="7" t="str">
        <x:v>DEMO-03</x:v>
      </x:c>
      <x:c r="P193" s="7" t="str"/>
      <x:c r="Q193" s="7" t="str">
        <x:v>N</x:v>
      </x:c>
      <x:c r="R193" s="7" t="str">
        <x:v>docs/demo-runbook.md</x:v>
      </x:c>
      <x:c r="S193" s="7" t="str">
        <x:v>Final rehearsal attendance</x:v>
      </x:c>
      <x:c r="T193" s="7" t="str">
        <x:v>Evidence and limitations</x:v>
      </x:c>
      <x:c r="U193" s="7" t="str">
        <x:v>workstream:d;priority:p0;category:demo</x:v>
      </x:c>
      <x:c r="V193" s="7" t="str">
        <x:v>Todo</x:v>
      </x:c>
      <x:c r="W193" s="7" t="str"/>
      <x:c r="X193" s="9" t="str">
        <x:v>Internal Sydney date. Estimate includes implementation, author checks and handoff; reviewer time is separately budgeted.</x:v>
      </x:c>
      <x:c r="Y193" s="12" t="n">
        <x:f>INT((M193-'Import Guide'!$B$3)/7)+1</x:f>
        <x:v>3</x:v>
      </x:c>
      <x:c r="Z193" s="12" t="str">
        <x:f>VLOOKUP(A193,'Dependencies'!$A$2:$G$224,7,FALSE)</x:f>
        <x:v>OK</x:v>
      </x:c>
      <x:c r="AA193" s="12" t="str">
        <x:f>IF(COUNTIFS('Milestones'!$A$2:$A$7,G193)&lt;&gt;1,"BAD GATE",IF(M193&lt;=VLOOKUP(G193,'Milestones'!$A$2:$C$7,3,FALSE),"OK","LATE"))</x:f>
        <x:v>OK</x:v>
      </x:c>
      <x:c r="AB193" s="12" t="n">
        <x:f>IF(OR(V193="Done",V193="Cut"),"",M193-TODAY())</x:f>
        <x:v>23</x:v>
      </x:c>
    </x:row>
    <x:row r="194" ht="90" customHeight="1">
      <x:c r="A194" s="7" t="str">
        <x:v>REV-ZHA-1</x:v>
      </x:c>
      <x:c r="B194" s="7" t="str">
        <x:v>Review Abdullah work for Week 1</x:v>
      </x:c>
      <x:c r="C194" s="9" t="str">
        <x:v>Review partner PRs throughout the week, check interfaces and evidence; this row reserves total reviewer time.</x:v>
      </x:c>
      <x:c r="D194" s="9" t="str">
        <x:v>Focused reviews include reproducible checks and a recorded disposition; review backlog zero at gate.</x:v>
      </x:c>
      <x:c r="E194" s="7" t="str">
        <x:v>Process</x:v>
      </x:c>
      <x:c r="F194" s="7" t="str">
        <x:v>A</x:v>
      </x:c>
      <x:c r="G194" s="7" t="str">
        <x:v>G1</x:v>
      </x:c>
      <x:c r="H194" s="7" t="str">
        <x:v>P0 must</x:v>
      </x:c>
      <x:c r="I194" s="7" t="str">
        <x:v>Zhaolin</x:v>
      </x:c>
      <x:c r="J194" s="7" t="str">
        <x:f>IF(VLOOKUP(I194,'Team'!$A$2:$B$7,2,FALSE)="","",VLOOKUP(I194,'Team'!$A$2:$B$7,2,FALSE))</x:f>
      </x:c>
      <x:c r="K194" s="7" t="str">
        <x:v>Abdullah</x:v>
      </x:c>
      <x:c r="L194" s="10" t="n">
        <x:v>46307</x:v>
      </x:c>
      <x:c r="M194" s="10" t="n">
        <x:v>46313</x:v>
      </x:c>
      <x:c r="N194" s="11" t="n">
        <x:v>3</x:v>
      </x:c>
      <x:c r="O194" s="7" t="str">
        <x:v>PROC-01</x:v>
      </x:c>
      <x:c r="P194" s="7" t="str"/>
      <x:c r="Q194" s="7" t="str">
        <x:v>N</x:v>
      </x:c>
      <x:c r="R194" s="7" t="str">
        <x:v>Pull requests; docs/reviews.md</x:v>
      </x:c>
      <x:c r="S194" s="7" t="str">
        <x:v>Week 1 review links</x:v>
      </x:c>
      <x:c r="T194" s="7" t="str">
        <x:v>Scope and rationale</x:v>
      </x:c>
      <x:c r="U194" s="7" t="str">
        <x:v>workstream:a;priority:p0;category:process</x:v>
      </x:c>
      <x:c r="V194" s="7" t="str">
        <x:v>Todo</x:v>
      </x:c>
      <x:c r="W194" s="7" t="str"/>
      <x:c r="X194" s="9" t="str">
        <x:v>Time budget spread across the week, not continuous work or all on due date. Reviews occur before dependent task starts. One row totals &lt;=3 h of short sessions. Same-day handoff: complete/review PROC-01 before starting this task.</x:v>
      </x:c>
      <x:c r="Y194" s="12" t="n">
        <x:f>INT((M194-'Import Guide'!$B$3)/7)+1</x:f>
        <x:v>1</x:v>
      </x:c>
      <x:c r="Z194" s="12" t="str">
        <x:f>VLOOKUP(A194,'Dependencies'!$A$2:$G$224,7,FALSE)</x:f>
        <x:v>OK</x:v>
      </x:c>
      <x:c r="AA194" s="12" t="str">
        <x:f>IF(COUNTIFS('Milestones'!$A$2:$A$7,G194)&lt;&gt;1,"BAD GATE",IF(M194&lt;=VLOOKUP(G194,'Milestones'!$A$2:$C$7,3,FALSE),"OK","LATE"))</x:f>
        <x:v>OK</x:v>
      </x:c>
      <x:c r="AB194" s="12" t="n">
        <x:f>IF(OR(V194="Done",V194="Cut"),"",M194-TODAY())</x:f>
        <x:v>10</x:v>
      </x:c>
    </x:row>
    <x:row r="195" ht="90" customHeight="1">
      <x:c r="A195" s="7" t="str">
        <x:v>COM-ZHA-1</x:v>
      </x:c>
      <x:c r="B195" s="7" t="str">
        <x:v>Attend Week 1 integration and cross-training sessions</x:v>
      </x:c>
      <x:c r="C195" s="9" t="str">
        <x:v>Budget kickoff/check-ins and a paired explanation of one unfamiliar module; distribute time through the week.</x:v>
      </x:c>
      <x:c r="D195" s="9" t="str">
        <x:v>Decisions/blockers recorded; member can explain inputs, failure mode and test of partner module.</x:v>
      </x:c>
      <x:c r="E195" s="7" t="str">
        <x:v>Process</x:v>
      </x:c>
      <x:c r="F195" s="7" t="str">
        <x:v>A</x:v>
      </x:c>
      <x:c r="G195" s="7" t="str">
        <x:v>G1</x:v>
      </x:c>
      <x:c r="H195" s="7" t="str">
        <x:v>P0 must</x:v>
      </x:c>
      <x:c r="I195" s="7" t="str">
        <x:v>Zhaolin</x:v>
      </x:c>
      <x:c r="J195" s="7" t="str">
        <x:f>IF(VLOOKUP(I195,'Team'!$A$2:$B$7,2,FALSE)="","",VLOOKUP(I195,'Team'!$A$2:$B$7,2,FALSE))</x:f>
      </x:c>
      <x:c r="K195" s="7" t="str">
        <x:v>Abdullah</x:v>
      </x:c>
      <x:c r="L195" s="10" t="n">
        <x:v>46307</x:v>
      </x:c>
      <x:c r="M195" s="10" t="n">
        <x:v>46313</x:v>
      </x:c>
      <x:c r="N195" s="11" t="n">
        <x:v>1.5</x:v>
      </x:c>
      <x:c r="O195" s="7" t="str"/>
      <x:c r="P195" s="7" t="str"/>
      <x:c r="Q195" s="7" t="str">
        <x:v>N</x:v>
      </x:c>
      <x:c r="R195" s="7" t="str">
        <x:v>docs/knowledge-matrix.md</x:v>
      </x:c>
      <x:c r="S195" s="7" t="str">
        <x:v>Week 1 cross-training record</x:v>
      </x:c>
      <x:c r="T195" s="7" t="str">
        <x:v>Scope and rationale</x:v>
      </x:c>
      <x:c r="U195" s="7" t="str">
        <x:v>workstream:a;priority:p0;category:process</x:v>
      </x:c>
      <x:c r="V195" s="7" t="str">
        <x:v>Todo</x:v>
      </x:c>
      <x:c r="W195" s="7" t="str"/>
      <x:c r="X195" s="9" t="str">
        <x:v>Time budget spread across the week, not continuous work or all on due date. Reviews occur before dependent task starts. One row totals &lt;=3 h of short sessions.</x:v>
      </x:c>
      <x:c r="Y195" s="12" t="n">
        <x:f>INT((M195-'Import Guide'!$B$3)/7)+1</x:f>
        <x:v>1</x:v>
      </x:c>
      <x:c r="Z195" s="12" t="str">
        <x:f>VLOOKUP(A195,'Dependencies'!$A$2:$G$224,7,FALSE)</x:f>
        <x:v>OK</x:v>
      </x:c>
      <x:c r="AA195" s="12" t="str">
        <x:f>IF(COUNTIFS('Milestones'!$A$2:$A$7,G195)&lt;&gt;1,"BAD GATE",IF(M195&lt;=VLOOKUP(G195,'Milestones'!$A$2:$C$7,3,FALSE),"OK","LATE"))</x:f>
        <x:v>OK</x:v>
      </x:c>
      <x:c r="AB195" s="12" t="n">
        <x:f>IF(OR(V195="Done",V195="Cut"),"",M195-TODAY())</x:f>
        <x:v>10</x:v>
      </x:c>
    </x:row>
    <x:row r="196" ht="90" customHeight="1">
      <x:c r="A196" s="7" t="str">
        <x:v>IND-ZHA-AI1</x:v>
      </x:c>
      <x:c r="B196" s="7" t="str">
        <x:v>Check Week 1 AI Journal and commit disclosures</x:v>
      </x:c>
      <x:c r="C196" s="9" t="str">
        <x:v>Privately reconcile significant VSCode AI Journal entries with commits and reviews.</x:v>
      </x:c>
      <x:c r="D196" s="9" t="str">
        <x:v>All significant interactions recorded; AI-assisted footer names actual reviewer; journal content stays private.</x:v>
      </x:c>
      <x:c r="E196" s="7" t="str">
        <x:v>Individual</x:v>
      </x:c>
      <x:c r="F196" s="7" t="str">
        <x:v>A</x:v>
      </x:c>
      <x:c r="G196" s="7" t="str">
        <x:v>G1</x:v>
      </x:c>
      <x:c r="H196" s="7" t="str">
        <x:v>P0 must</x:v>
      </x:c>
      <x:c r="I196" s="7" t="str">
        <x:v>Zhaolin</x:v>
      </x:c>
      <x:c r="J196" s="7" t="str">
        <x:f>IF(VLOOKUP(I196,'Team'!$A$2:$B$7,2,FALSE)="","",VLOOKUP(I196,'Team'!$A$2:$B$7,2,FALSE))</x:f>
      </x:c>
      <x:c r="K196" s="7" t="str">
        <x:v>Abdullah</x:v>
      </x:c>
      <x:c r="L196" s="10" t="n">
        <x:v>46313</x:v>
      </x:c>
      <x:c r="M196" s="10" t="n">
        <x:v>46313</x:v>
      </x:c>
      <x:c r="N196" s="11" t="n">
        <x:v>0.5</x:v>
      </x:c>
      <x:c r="O196" s="7" t="str"/>
      <x:c r="P196" s="7" t="str"/>
      <x:c r="Q196" s="7" t="str">
        <x:v>N</x:v>
      </x:c>
      <x:c r="R196" s="7" t="str">
        <x:v>Private AI Journal; commit history</x:v>
      </x:c>
      <x:c r="S196" s="7" t="str">
        <x:v>Private completion confirmation only</x:v>
      </x:c>
      <x:c r="T196" s="7" t="str">
        <x:v>Individual (private)</x:v>
      </x:c>
      <x:c r="U196" s="7" t="str">
        <x:v>workstream:a;priority:p0;category:individual</x:v>
      </x:c>
      <x:c r="V196" s="7" t="str">
        <x:v>Todo</x:v>
      </x:c>
      <x:c r="W196" s="7" t="str"/>
      <x:c r="X196" s="9" t="str">
        <x:v>Internal readiness date only. Actual Canvas/Week 13/SparkPLUS deadlines are unconfirmed. Public task stores no private reflection or assessment content.</x:v>
      </x:c>
      <x:c r="Y196" s="12" t="n">
        <x:f>INT((M196-'Import Guide'!$B$3)/7)+1</x:f>
        <x:v>1</x:v>
      </x:c>
      <x:c r="Z196" s="12" t="str">
        <x:f>VLOOKUP(A196,'Dependencies'!$A$2:$G$224,7,FALSE)</x:f>
        <x:v>OK</x:v>
      </x:c>
      <x:c r="AA196" s="12" t="str">
        <x:f>IF(COUNTIFS('Milestones'!$A$2:$A$7,G196)&lt;&gt;1,"BAD GATE",IF(M196&lt;=VLOOKUP(G196,'Milestones'!$A$2:$C$7,3,FALSE),"OK","LATE"))</x:f>
        <x:v>OK</x:v>
      </x:c>
      <x:c r="AB196" s="12" t="n">
        <x:f>IF(OR(V196="Done",V196="Cut"),"",M196-TODAY())</x:f>
        <x:v>10</x:v>
      </x:c>
    </x:row>
    <x:row r="197" ht="90" customHeight="1">
      <x:c r="A197" s="7" t="str">
        <x:v>REV-ZHA-2</x:v>
      </x:c>
      <x:c r="B197" s="7" t="str">
        <x:v>Review Abdullah work for Week 2</x:v>
      </x:c>
      <x:c r="C197" s="9" t="str">
        <x:v>Review partner PRs throughout the week, check interfaces and evidence; this row reserves total reviewer time.</x:v>
      </x:c>
      <x:c r="D197" s="9" t="str">
        <x:v>Focused reviews include reproducible checks and a recorded disposition; review backlog zero at gate.</x:v>
      </x:c>
      <x:c r="E197" s="7" t="str">
        <x:v>Process</x:v>
      </x:c>
      <x:c r="F197" s="7" t="str">
        <x:v>A</x:v>
      </x:c>
      <x:c r="G197" s="7" t="str">
        <x:v>G3</x:v>
      </x:c>
      <x:c r="H197" s="7" t="str">
        <x:v>P0 must</x:v>
      </x:c>
      <x:c r="I197" s="7" t="str">
        <x:v>Zhaolin</x:v>
      </x:c>
      <x:c r="J197" s="7" t="str">
        <x:f>IF(VLOOKUP(I197,'Team'!$A$2:$B$7,2,FALSE)="","",VLOOKUP(I197,'Team'!$A$2:$B$7,2,FALSE))</x:f>
      </x:c>
      <x:c r="K197" s="7" t="str">
        <x:v>Abdullah</x:v>
      </x:c>
      <x:c r="L197" s="10" t="n">
        <x:v>46314</x:v>
      </x:c>
      <x:c r="M197" s="10" t="n">
        <x:v>46320</x:v>
      </x:c>
      <x:c r="N197" s="11" t="n">
        <x:v>3</x:v>
      </x:c>
      <x:c r="O197" s="7" t="str">
        <x:v>PROC-01</x:v>
      </x:c>
      <x:c r="P197" s="7" t="str"/>
      <x:c r="Q197" s="7" t="str">
        <x:v>N</x:v>
      </x:c>
      <x:c r="R197" s="7" t="str">
        <x:v>Pull requests; docs/reviews.md</x:v>
      </x:c>
      <x:c r="S197" s="7" t="str">
        <x:v>Week 2 review links</x:v>
      </x:c>
      <x:c r="T197" s="7" t="str">
        <x:v>Scope and rationale</x:v>
      </x:c>
      <x:c r="U197" s="7" t="str">
        <x:v>workstream:a;priority:p0;category:process</x:v>
      </x:c>
      <x:c r="V197" s="7" t="str">
        <x:v>Todo</x:v>
      </x:c>
      <x:c r="W197" s="7" t="str"/>
      <x:c r="X197" s="9" t="str">
        <x:v>Time budget spread across the week, not continuous work or all on due date. Reviews occur before dependent task starts. One row totals &lt;=3 h of short sessions.</x:v>
      </x:c>
      <x:c r="Y197" s="12" t="n">
        <x:f>INT((M197-'Import Guide'!$B$3)/7)+1</x:f>
        <x:v>2</x:v>
      </x:c>
      <x:c r="Z197" s="12" t="str">
        <x:f>VLOOKUP(A197,'Dependencies'!$A$2:$G$224,7,FALSE)</x:f>
        <x:v>OK</x:v>
      </x:c>
      <x:c r="AA197" s="12" t="str">
        <x:f>IF(COUNTIFS('Milestones'!$A$2:$A$7,G197)&lt;&gt;1,"BAD GATE",IF(M197&lt;=VLOOKUP(G197,'Milestones'!$A$2:$C$7,3,FALSE),"OK","LATE"))</x:f>
        <x:v>OK</x:v>
      </x:c>
      <x:c r="AB197" s="12" t="n">
        <x:f>IF(OR(V197="Done",V197="Cut"),"",M197-TODAY())</x:f>
        <x:v>17</x:v>
      </x:c>
    </x:row>
    <x:row r="198" ht="90" customHeight="1">
      <x:c r="A198" s="7" t="str">
        <x:v>COM-ZHA-2</x:v>
      </x:c>
      <x:c r="B198" s="7" t="str">
        <x:v>Attend Week 2 integration and cross-training sessions</x:v>
      </x:c>
      <x:c r="C198" s="9" t="str">
        <x:v>Budget kickoff/check-ins and a paired explanation of one unfamiliar module; distribute time through the week.</x:v>
      </x:c>
      <x:c r="D198" s="9" t="str">
        <x:v>Decisions/blockers recorded; member can explain inputs, failure mode and test of partner module.</x:v>
      </x:c>
      <x:c r="E198" s="7" t="str">
        <x:v>Process</x:v>
      </x:c>
      <x:c r="F198" s="7" t="str">
        <x:v>A</x:v>
      </x:c>
      <x:c r="G198" s="7" t="str">
        <x:v>G3</x:v>
      </x:c>
      <x:c r="H198" s="7" t="str">
        <x:v>P0 must</x:v>
      </x:c>
      <x:c r="I198" s="7" t="str">
        <x:v>Zhaolin</x:v>
      </x:c>
      <x:c r="J198" s="7" t="str">
        <x:f>IF(VLOOKUP(I198,'Team'!$A$2:$B$7,2,FALSE)="","",VLOOKUP(I198,'Team'!$A$2:$B$7,2,FALSE))</x:f>
      </x:c>
      <x:c r="K198" s="7" t="str">
        <x:v>Abdullah</x:v>
      </x:c>
      <x:c r="L198" s="10" t="n">
        <x:v>46314</x:v>
      </x:c>
      <x:c r="M198" s="10" t="n">
        <x:v>46320</x:v>
      </x:c>
      <x:c r="N198" s="11" t="n">
        <x:v>1.5</x:v>
      </x:c>
      <x:c r="O198" s="7" t="str"/>
      <x:c r="P198" s="7" t="str"/>
      <x:c r="Q198" s="7" t="str">
        <x:v>N</x:v>
      </x:c>
      <x:c r="R198" s="7" t="str">
        <x:v>docs/knowledge-matrix.md</x:v>
      </x:c>
      <x:c r="S198" s="7" t="str">
        <x:v>Week 2 cross-training record</x:v>
      </x:c>
      <x:c r="T198" s="7" t="str">
        <x:v>Scope and rationale</x:v>
      </x:c>
      <x:c r="U198" s="7" t="str">
        <x:v>workstream:a;priority:p0;category:process</x:v>
      </x:c>
      <x:c r="V198" s="7" t="str">
        <x:v>Todo</x:v>
      </x:c>
      <x:c r="W198" s="7" t="str"/>
      <x:c r="X198" s="9" t="str">
        <x:v>Time budget spread across the week, not continuous work or all on due date. Reviews occur before dependent task starts. One row totals &lt;=3 h of short sessions.</x:v>
      </x:c>
      <x:c r="Y198" s="12" t="n">
        <x:f>INT((M198-'Import Guide'!$B$3)/7)+1</x:f>
        <x:v>2</x:v>
      </x:c>
      <x:c r="Z198" s="12" t="str">
        <x:f>VLOOKUP(A198,'Dependencies'!$A$2:$G$224,7,FALSE)</x:f>
        <x:v>OK</x:v>
      </x:c>
      <x:c r="AA198" s="12" t="str">
        <x:f>IF(COUNTIFS('Milestones'!$A$2:$A$7,G198)&lt;&gt;1,"BAD GATE",IF(M198&lt;=VLOOKUP(G198,'Milestones'!$A$2:$C$7,3,FALSE),"OK","LATE"))</x:f>
        <x:v>OK</x:v>
      </x:c>
      <x:c r="AB198" s="12" t="n">
        <x:f>IF(OR(V198="Done",V198="Cut"),"",M198-TODAY())</x:f>
        <x:v>17</x:v>
      </x:c>
    </x:row>
    <x:row r="199" ht="90" customHeight="1">
      <x:c r="A199" s="7" t="str">
        <x:v>IND-ZHA-AI2</x:v>
      </x:c>
      <x:c r="B199" s="7" t="str">
        <x:v>Check Week 2 AI Journal and commit disclosures</x:v>
      </x:c>
      <x:c r="C199" s="9" t="str">
        <x:v>Privately reconcile significant VSCode AI Journal entries with commits and reviews.</x:v>
      </x:c>
      <x:c r="D199" s="9" t="str">
        <x:v>All significant interactions recorded; AI-assisted footer names actual reviewer; journal content stays private.</x:v>
      </x:c>
      <x:c r="E199" s="7" t="str">
        <x:v>Individual</x:v>
      </x:c>
      <x:c r="F199" s="7" t="str">
        <x:v>A</x:v>
      </x:c>
      <x:c r="G199" s="7" t="str">
        <x:v>G3</x:v>
      </x:c>
      <x:c r="H199" s="7" t="str">
        <x:v>P0 must</x:v>
      </x:c>
      <x:c r="I199" s="7" t="str">
        <x:v>Zhaolin</x:v>
      </x:c>
      <x:c r="J199" s="7" t="str">
        <x:f>IF(VLOOKUP(I199,'Team'!$A$2:$B$7,2,FALSE)="","",VLOOKUP(I199,'Team'!$A$2:$B$7,2,FALSE))</x:f>
      </x:c>
      <x:c r="K199" s="7" t="str">
        <x:v>Abdullah</x:v>
      </x:c>
      <x:c r="L199" s="10" t="n">
        <x:v>46320</x:v>
      </x:c>
      <x:c r="M199" s="10" t="n">
        <x:v>46320</x:v>
      </x:c>
      <x:c r="N199" s="11" t="n">
        <x:v>0.5</x:v>
      </x:c>
      <x:c r="O199" s="7" t="str"/>
      <x:c r="P199" s="7" t="str"/>
      <x:c r="Q199" s="7" t="str">
        <x:v>N</x:v>
      </x:c>
      <x:c r="R199" s="7" t="str">
        <x:v>Private AI Journal; commit history</x:v>
      </x:c>
      <x:c r="S199" s="7" t="str">
        <x:v>Private completion confirmation only</x:v>
      </x:c>
      <x:c r="T199" s="7" t="str">
        <x:v>Individual (private)</x:v>
      </x:c>
      <x:c r="U199" s="7" t="str">
        <x:v>workstream:a;priority:p0;category:individual</x:v>
      </x:c>
      <x:c r="V199" s="7" t="str">
        <x:v>Todo</x:v>
      </x:c>
      <x:c r="W199" s="7" t="str"/>
      <x:c r="X199" s="9" t="str">
        <x:v>Internal readiness date only. Actual Canvas/Week 13/SparkPLUS deadlines are unconfirmed. Public task stores no private reflection or assessment content.</x:v>
      </x:c>
      <x:c r="Y199" s="12" t="n">
        <x:f>INT((M199-'Import Guide'!$B$3)/7)+1</x:f>
        <x:v>2</x:v>
      </x:c>
      <x:c r="Z199" s="12" t="str">
        <x:f>VLOOKUP(A199,'Dependencies'!$A$2:$G$224,7,FALSE)</x:f>
        <x:v>OK</x:v>
      </x:c>
      <x:c r="AA199" s="12" t="str">
        <x:f>IF(COUNTIFS('Milestones'!$A$2:$A$7,G199)&lt;&gt;1,"BAD GATE",IF(M199&lt;=VLOOKUP(G199,'Milestones'!$A$2:$C$7,3,FALSE),"OK","LATE"))</x:f>
        <x:v>OK</x:v>
      </x:c>
      <x:c r="AB199" s="12" t="n">
        <x:f>IF(OR(V199="Done",V199="Cut"),"",M199-TODAY())</x:f>
        <x:v>17</x:v>
      </x:c>
    </x:row>
    <x:row r="200" ht="90" customHeight="1">
      <x:c r="A200" s="7" t="str">
        <x:v>REV-ZHA-3</x:v>
      </x:c>
      <x:c r="B200" s="7" t="str">
        <x:v>Review Abdullah work for Week 3</x:v>
      </x:c>
      <x:c r="C200" s="9" t="str">
        <x:v>Review partner PRs throughout the week, check interfaces and evidence; this row reserves total reviewer time.</x:v>
      </x:c>
      <x:c r="D200" s="9" t="str">
        <x:v>Focused reviews include reproducible checks and a recorded disposition; review backlog zero at gate.</x:v>
      </x:c>
      <x:c r="E200" s="7" t="str">
        <x:v>Process</x:v>
      </x:c>
      <x:c r="F200" s="7" t="str">
        <x:v>A</x:v>
      </x:c>
      <x:c r="G200" s="7" t="str">
        <x:v>G5</x:v>
      </x:c>
      <x:c r="H200" s="7" t="str">
        <x:v>P0 must</x:v>
      </x:c>
      <x:c r="I200" s="7" t="str">
        <x:v>Zhaolin</x:v>
      </x:c>
      <x:c r="J200" s="7" t="str">
        <x:f>IF(VLOOKUP(I200,'Team'!$A$2:$B$7,2,FALSE)="","",VLOOKUP(I200,'Team'!$A$2:$B$7,2,FALSE))</x:f>
      </x:c>
      <x:c r="K200" s="7" t="str">
        <x:v>Abdullah</x:v>
      </x:c>
      <x:c r="L200" s="10" t="n">
        <x:v>46321</x:v>
      </x:c>
      <x:c r="M200" s="10" t="n">
        <x:v>46326</x:v>
      </x:c>
      <x:c r="N200" s="11" t="n">
        <x:v>3</x:v>
      </x:c>
      <x:c r="O200" s="7" t="str">
        <x:v>PROC-01</x:v>
      </x:c>
      <x:c r="P200" s="7" t="str"/>
      <x:c r="Q200" s="7" t="str">
        <x:v>N</x:v>
      </x:c>
      <x:c r="R200" s="7" t="str">
        <x:v>Pull requests; docs/reviews.md</x:v>
      </x:c>
      <x:c r="S200" s="7" t="str">
        <x:v>Week 3 review links</x:v>
      </x:c>
      <x:c r="T200" s="7" t="str">
        <x:v>Scope and rationale</x:v>
      </x:c>
      <x:c r="U200" s="7" t="str">
        <x:v>workstream:a;priority:p0;category:process</x:v>
      </x:c>
      <x:c r="V200" s="7" t="str">
        <x:v>Todo</x:v>
      </x:c>
      <x:c r="W200" s="7" t="str"/>
      <x:c r="X200" s="9" t="str">
        <x:v>Time budget spread across the week, not continuous work or all on due date. Reviews occur before dependent task starts. One row totals &lt;=3 h of short sessions.</x:v>
      </x:c>
      <x:c r="Y200" s="12" t="n">
        <x:f>INT((M200-'Import Guide'!$B$3)/7)+1</x:f>
        <x:v>3</x:v>
      </x:c>
      <x:c r="Z200" s="12" t="str">
        <x:f>VLOOKUP(A200,'Dependencies'!$A$2:$G$224,7,FALSE)</x:f>
        <x:v>OK</x:v>
      </x:c>
      <x:c r="AA200" s="12" t="str">
        <x:f>IF(COUNTIFS('Milestones'!$A$2:$A$7,G200)&lt;&gt;1,"BAD GATE",IF(M200&lt;=VLOOKUP(G200,'Milestones'!$A$2:$C$7,3,FALSE),"OK","LATE"))</x:f>
        <x:v>OK</x:v>
      </x:c>
      <x:c r="AB200" s="12" t="n">
        <x:f>IF(OR(V200="Done",V200="Cut"),"",M200-TODAY())</x:f>
        <x:v>23</x:v>
      </x:c>
    </x:row>
    <x:row r="201" ht="90" customHeight="1">
      <x:c r="A201" s="7" t="str">
        <x:v>COM-ZHA-3</x:v>
      </x:c>
      <x:c r="B201" s="7" t="str">
        <x:v>Attend Week 3 integration and cross-training sessions</x:v>
      </x:c>
      <x:c r="C201" s="9" t="str">
        <x:v>Budget kickoff/check-ins and a paired explanation of one unfamiliar module; distribute time through the week.</x:v>
      </x:c>
      <x:c r="D201" s="9" t="str">
        <x:v>Decisions/blockers recorded; member can explain inputs, failure mode and test of partner module.</x:v>
      </x:c>
      <x:c r="E201" s="7" t="str">
        <x:v>Process</x:v>
      </x:c>
      <x:c r="F201" s="7" t="str">
        <x:v>A</x:v>
      </x:c>
      <x:c r="G201" s="7" t="str">
        <x:v>G5</x:v>
      </x:c>
      <x:c r="H201" s="7" t="str">
        <x:v>P0 must</x:v>
      </x:c>
      <x:c r="I201" s="7" t="str">
        <x:v>Zhaolin</x:v>
      </x:c>
      <x:c r="J201" s="7" t="str">
        <x:f>IF(VLOOKUP(I201,'Team'!$A$2:$B$7,2,FALSE)="","",VLOOKUP(I201,'Team'!$A$2:$B$7,2,FALSE))</x:f>
      </x:c>
      <x:c r="K201" s="7" t="str">
        <x:v>Abdullah</x:v>
      </x:c>
      <x:c r="L201" s="10" t="n">
        <x:v>46321</x:v>
      </x:c>
      <x:c r="M201" s="10" t="n">
        <x:v>46326</x:v>
      </x:c>
      <x:c r="N201" s="11" t="n">
        <x:v>1.5</x:v>
      </x:c>
      <x:c r="O201" s="7" t="str"/>
      <x:c r="P201" s="7" t="str"/>
      <x:c r="Q201" s="7" t="str">
        <x:v>N</x:v>
      </x:c>
      <x:c r="R201" s="7" t="str">
        <x:v>docs/knowledge-matrix.md</x:v>
      </x:c>
      <x:c r="S201" s="7" t="str">
        <x:v>Week 3 cross-training record</x:v>
      </x:c>
      <x:c r="T201" s="7" t="str">
        <x:v>Scope and rationale</x:v>
      </x:c>
      <x:c r="U201" s="7" t="str">
        <x:v>workstream:a;priority:p0;category:process</x:v>
      </x:c>
      <x:c r="V201" s="7" t="str">
        <x:v>Todo</x:v>
      </x:c>
      <x:c r="W201" s="7" t="str"/>
      <x:c r="X201" s="9" t="str">
        <x:v>Time budget spread across the week, not continuous work or all on due date. Reviews occur before dependent task starts. One row totals &lt;=3 h of short sessions.</x:v>
      </x:c>
      <x:c r="Y201" s="12" t="n">
        <x:f>INT((M201-'Import Guide'!$B$3)/7)+1</x:f>
        <x:v>3</x:v>
      </x:c>
      <x:c r="Z201" s="12" t="str">
        <x:f>VLOOKUP(A201,'Dependencies'!$A$2:$G$224,7,FALSE)</x:f>
        <x:v>OK</x:v>
      </x:c>
      <x:c r="AA201" s="12" t="str">
        <x:f>IF(COUNTIFS('Milestones'!$A$2:$A$7,G201)&lt;&gt;1,"BAD GATE",IF(M201&lt;=VLOOKUP(G201,'Milestones'!$A$2:$C$7,3,FALSE),"OK","LATE"))</x:f>
        <x:v>OK</x:v>
      </x:c>
      <x:c r="AB201" s="12" t="n">
        <x:f>IF(OR(V201="Done",V201="Cut"),"",M201-TODAY())</x:f>
        <x:v>23</x:v>
      </x:c>
    </x:row>
    <x:row r="202" ht="90" customHeight="1">
      <x:c r="A202" s="7" t="str">
        <x:v>IND-ZHA-AI3</x:v>
      </x:c>
      <x:c r="B202" s="7" t="str">
        <x:v>Check Week 3 AI Journal and commit disclosures</x:v>
      </x:c>
      <x:c r="C202" s="9" t="str">
        <x:v>Privately reconcile significant VSCode AI Journal entries with commits and reviews.</x:v>
      </x:c>
      <x:c r="D202" s="9" t="str">
        <x:v>All significant interactions recorded; AI-assisted footer names actual reviewer; journal content stays private.</x:v>
      </x:c>
      <x:c r="E202" s="7" t="str">
        <x:v>Individual</x:v>
      </x:c>
      <x:c r="F202" s="7" t="str">
        <x:v>A</x:v>
      </x:c>
      <x:c r="G202" s="7" t="str">
        <x:v>G5</x:v>
      </x:c>
      <x:c r="H202" s="7" t="str">
        <x:v>P0 must</x:v>
      </x:c>
      <x:c r="I202" s="7" t="str">
        <x:v>Zhaolin</x:v>
      </x:c>
      <x:c r="J202" s="7" t="str">
        <x:f>IF(VLOOKUP(I202,'Team'!$A$2:$B$7,2,FALSE)="","",VLOOKUP(I202,'Team'!$A$2:$B$7,2,FALSE))</x:f>
      </x:c>
      <x:c r="K202" s="7" t="str">
        <x:v>Abdullah</x:v>
      </x:c>
      <x:c r="L202" s="10" t="n">
        <x:v>46326</x:v>
      </x:c>
      <x:c r="M202" s="10" t="n">
        <x:v>46326</x:v>
      </x:c>
      <x:c r="N202" s="11" t="n">
        <x:v>0.5</x:v>
      </x:c>
      <x:c r="O202" s="7" t="str"/>
      <x:c r="P202" s="7" t="str"/>
      <x:c r="Q202" s="7" t="str">
        <x:v>N</x:v>
      </x:c>
      <x:c r="R202" s="7" t="str">
        <x:v>Private AI Journal; commit history</x:v>
      </x:c>
      <x:c r="S202" s="7" t="str">
        <x:v>Private completion confirmation only</x:v>
      </x:c>
      <x:c r="T202" s="7" t="str">
        <x:v>Individual (private)</x:v>
      </x:c>
      <x:c r="U202" s="7" t="str">
        <x:v>workstream:a;priority:p0;category:individual</x:v>
      </x:c>
      <x:c r="V202" s="7" t="str">
        <x:v>Todo</x:v>
      </x:c>
      <x:c r="W202" s="7" t="str"/>
      <x:c r="X202" s="9" t="str">
        <x:v>Internal readiness date only. Actual Canvas/Week 13/SparkPLUS deadlines are unconfirmed. Public task stores no private reflection or assessment content.</x:v>
      </x:c>
      <x:c r="Y202" s="12" t="n">
        <x:f>INT((M202-'Import Guide'!$B$3)/7)+1</x:f>
        <x:v>3</x:v>
      </x:c>
      <x:c r="Z202" s="12" t="str">
        <x:f>VLOOKUP(A202,'Dependencies'!$A$2:$G$224,7,FALSE)</x:f>
        <x:v>OK</x:v>
      </x:c>
      <x:c r="AA202" s="12" t="str">
        <x:f>IF(COUNTIFS('Milestones'!$A$2:$A$7,G202)&lt;&gt;1,"BAD GATE",IF(M202&lt;=VLOOKUP(G202,'Milestones'!$A$2:$C$7,3,FALSE),"OK","LATE"))</x:f>
        <x:v>OK</x:v>
      </x:c>
      <x:c r="AB202" s="12" t="n">
        <x:f>IF(OR(V202="Done",V202="Cut"),"",M202-TODAY())</x:f>
        <x:v>23</x:v>
      </x:c>
    </x:row>
    <x:row r="203" ht="90" customHeight="1">
      <x:c r="A203" s="7" t="str">
        <x:v>IND-ZHA-REF</x:v>
      </x:c>
      <x:c r="B203" s="7" t="str">
        <x:v>Draft and privately check individual self-reflection</x:v>
      </x:c>
      <x:c r="C203" s="9" t="str">
        <x:v>Address contribution links, challenge/learning and specific AI Journal entries; this is readiness, not assumed submission.</x:v>
      </x:c>
      <x:c r="D203" s="9" t="str">
        <x:v>At most 1 page and 400 words; private file ready for actual Canvas deadline.</x:v>
      </x:c>
      <x:c r="E203" s="7" t="str">
        <x:v>Individual</x:v>
      </x:c>
      <x:c r="F203" s="7" t="str">
        <x:v>A</x:v>
      </x:c>
      <x:c r="G203" s="7" t="str">
        <x:v>G5</x:v>
      </x:c>
      <x:c r="H203" s="7" t="str">
        <x:v>P0 must</x:v>
      </x:c>
      <x:c r="I203" s="7" t="str">
        <x:v>Zhaolin</x:v>
      </x:c>
      <x:c r="J203" s="7" t="str">
        <x:f>IF(VLOOKUP(I203,'Team'!$A$2:$B$7,2,FALSE)="","",VLOOKUP(I203,'Team'!$A$2:$B$7,2,FALSE))</x:f>
      </x:c>
      <x:c r="K203" s="7" t="str">
        <x:v>Abdullah</x:v>
      </x:c>
      <x:c r="L203" s="10" t="n">
        <x:v>46325</x:v>
      </x:c>
      <x:c r="M203" s="10" t="n">
        <x:v>46325</x:v>
      </x:c>
      <x:c r="N203" s="11" t="n">
        <x:v>1</x:v>
      </x:c>
      <x:c r="O203" s="7" t="str"/>
      <x:c r="P203" s="7" t="str"/>
      <x:c r="Q203" s="7" t="str">
        <x:v>N</x:v>
      </x:c>
      <x:c r="R203" s="7" t="str">
        <x:v>Private self-reflection</x:v>
      </x:c>
      <x:c r="S203" s="7" t="str">
        <x:v>Private completion confirmation only</x:v>
      </x:c>
      <x:c r="T203" s="7" t="str">
        <x:v>Individual (private)</x:v>
      </x:c>
      <x:c r="U203" s="7" t="str">
        <x:v>workstream:a;priority:p0;category:individual</x:v>
      </x:c>
      <x:c r="V203" s="7" t="str">
        <x:v>Todo</x:v>
      </x:c>
      <x:c r="W203" s="7" t="str"/>
      <x:c r="X203" s="9" t="str">
        <x:v>Internal readiness date only. Actual Canvas/Week 13/SparkPLUS deadlines are unconfirmed. Public task stores no private reflection or assessment content.</x:v>
      </x:c>
      <x:c r="Y203" s="12" t="n">
        <x:f>INT((M203-'Import Guide'!$B$3)/7)+1</x:f>
        <x:v>3</x:v>
      </x:c>
      <x:c r="Z203" s="12" t="str">
        <x:f>VLOOKUP(A203,'Dependencies'!$A$2:$G$224,7,FALSE)</x:f>
        <x:v>OK</x:v>
      </x:c>
      <x:c r="AA203" s="12" t="str">
        <x:f>IF(COUNTIFS('Milestones'!$A$2:$A$7,G203)&lt;&gt;1,"BAD GATE",IF(M203&lt;=VLOOKUP(G203,'Milestones'!$A$2:$C$7,3,FALSE),"OK","LATE"))</x:f>
        <x:v>OK</x:v>
      </x:c>
      <x:c r="AB203" s="12" t="n">
        <x:f>IF(OR(V203="Done",V203="Cut"),"",M203-TODAY())</x:f>
        <x:v>22</x:v>
      </x:c>
    </x:row>
    <x:row r="204" ht="90" customHeight="1">
      <x:c r="A204" s="7" t="str">
        <x:v>IND-ZHA-PEER</x:v>
      </x:c>
      <x:c r="B204" s="7" t="str">
        <x:v>Prepare peer-reflection forms and verify lab attendance</x:v>
      </x:c>
      <x:c r="C204" s="9" t="str">
        <x:v>Arrange attendance and two-other-team forms for actual Week 13 lab; completion occurs at the lab.</x:v>
      </x:c>
      <x:c r="D204" s="9" t="str">
        <x:v>Lab slot and at least two-team peer-reflection obligation recorded privately; actual lab task remains pending.</x:v>
      </x:c>
      <x:c r="E204" s="7" t="str">
        <x:v>Individual</x:v>
      </x:c>
      <x:c r="F204" s="7" t="str">
        <x:v>A</x:v>
      </x:c>
      <x:c r="G204" s="7" t="str">
        <x:v>G5</x:v>
      </x:c>
      <x:c r="H204" s="7" t="str">
        <x:v>P0 must</x:v>
      </x:c>
      <x:c r="I204" s="7" t="str">
        <x:v>Zhaolin</x:v>
      </x:c>
      <x:c r="J204" s="7" t="str">
        <x:f>IF(VLOOKUP(I204,'Team'!$A$2:$B$7,2,FALSE)="","",VLOOKUP(I204,'Team'!$A$2:$B$7,2,FALSE))</x:f>
      </x:c>
      <x:c r="K204" s="7" t="str">
        <x:v>Abdullah</x:v>
      </x:c>
      <x:c r="L204" s="10" t="n">
        <x:v>46326</x:v>
      </x:c>
      <x:c r="M204" s="10" t="n">
        <x:v>46326</x:v>
      </x:c>
      <x:c r="N204" s="11" t="n">
        <x:v>0.25</x:v>
      </x:c>
      <x:c r="O204" s="7" t="str"/>
      <x:c r="P204" s="7" t="str"/>
      <x:c r="Q204" s="7" t="str">
        <x:v>N</x:v>
      </x:c>
      <x:c r="R204" s="7" t="str">
        <x:v>Private Canvas checklist</x:v>
      </x:c>
      <x:c r="S204" s="7" t="str">
        <x:v>Prepared confirmation only</x:v>
      </x:c>
      <x:c r="T204" s="7" t="str">
        <x:v>Individual (private)</x:v>
      </x:c>
      <x:c r="U204" s="7" t="str">
        <x:v>workstream:a;priority:p0;category:individual</x:v>
      </x:c>
      <x:c r="V204" s="7" t="str">
        <x:v>Todo</x:v>
      </x:c>
      <x:c r="W204" s="7" t="str"/>
      <x:c r="X204" s="9" t="str">
        <x:v>Internal readiness date only. Actual Canvas/Week 13/SparkPLUS deadlines are unconfirmed. Public task stores no private reflection or assessment content.</x:v>
      </x:c>
      <x:c r="Y204" s="12" t="n">
        <x:f>INT((M204-'Import Guide'!$B$3)/7)+1</x:f>
        <x:v>3</x:v>
      </x:c>
      <x:c r="Z204" s="12" t="str">
        <x:f>VLOOKUP(A204,'Dependencies'!$A$2:$G$224,7,FALSE)</x:f>
        <x:v>OK</x:v>
      </x:c>
      <x:c r="AA204" s="12" t="str">
        <x:f>IF(COUNTIFS('Milestones'!$A$2:$A$7,G204)&lt;&gt;1,"BAD GATE",IF(M204&lt;=VLOOKUP(G204,'Milestones'!$A$2:$C$7,3,FALSE),"OK","LATE"))</x:f>
        <x:v>OK</x:v>
      </x:c>
      <x:c r="AB204" s="12" t="n">
        <x:f>IF(OR(V204="Done",V204="Cut"),"",M204-TODAY())</x:f>
        <x:v>23</x:v>
      </x:c>
    </x:row>
    <x:row r="205" ht="90" customHeight="1">
      <x:c r="A205" s="7" t="str">
        <x:v>IND-ZHA-SPARK</x:v>
      </x:c>
      <x:c r="B205" s="7" t="str">
        <x:v>Verify SparkPLUS deadline and personal submission reminder</x:v>
      </x:c>
      <x:c r="C205" s="9" t="str">
        <x:v>Check Canvas portal deadline and availability; schedule own reminder; never submit another member's assessment.</x:v>
      </x:c>
      <x:c r="D205" s="9" t="str">
        <x:v>Actual deadline copied privately and reminder set by member; readiness is distinct from completed assessment.</x:v>
      </x:c>
      <x:c r="E205" s="7" t="str">
        <x:v>Individual</x:v>
      </x:c>
      <x:c r="F205" s="7" t="str">
        <x:v>A</x:v>
      </x:c>
      <x:c r="G205" s="7" t="str">
        <x:v>G5</x:v>
      </x:c>
      <x:c r="H205" s="7" t="str">
        <x:v>P0 must</x:v>
      </x:c>
      <x:c r="I205" s="7" t="str">
        <x:v>Zhaolin</x:v>
      </x:c>
      <x:c r="J205" s="7" t="str">
        <x:f>IF(VLOOKUP(I205,'Team'!$A$2:$B$7,2,FALSE)="","",VLOOKUP(I205,'Team'!$A$2:$B$7,2,FALSE))</x:f>
      </x:c>
      <x:c r="K205" s="7" t="str">
        <x:v>Abdullah</x:v>
      </x:c>
      <x:c r="L205" s="10" t="n">
        <x:v>46326</x:v>
      </x:c>
      <x:c r="M205" s="10" t="n">
        <x:v>46326</x:v>
      </x:c>
      <x:c r="N205" s="11" t="n">
        <x:v>0.25</x:v>
      </x:c>
      <x:c r="O205" s="7" t="str"/>
      <x:c r="P205" s="7" t="str"/>
      <x:c r="Q205" s="7" t="str">
        <x:v>N</x:v>
      </x:c>
      <x:c r="R205" s="7" t="str">
        <x:v>Private Canvas checklist</x:v>
      </x:c>
      <x:c r="S205" s="7" t="str">
        <x:v>Deadline verified confirmation only</x:v>
      </x:c>
      <x:c r="T205" s="7" t="str">
        <x:v>Individual (private)</x:v>
      </x:c>
      <x:c r="U205" s="7" t="str">
        <x:v>workstream:a;priority:p0;category:individual</x:v>
      </x:c>
      <x:c r="V205" s="7" t="str">
        <x:v>Todo</x:v>
      </x:c>
      <x:c r="W205" s="7" t="str"/>
      <x:c r="X205" s="9" t="str">
        <x:v>Internal readiness date only. Actual Canvas/Week 13/SparkPLUS deadlines are unconfirmed. Public task stores no private reflection or assessment content.</x:v>
      </x:c>
      <x:c r="Y205" s="12" t="n">
        <x:f>INT((M205-'Import Guide'!$B$3)/7)+1</x:f>
        <x:v>3</x:v>
      </x:c>
      <x:c r="Z205" s="12" t="str">
        <x:f>VLOOKUP(A205,'Dependencies'!$A$2:$G$224,7,FALSE)</x:f>
        <x:v>OK</x:v>
      </x:c>
      <x:c r="AA205" s="12" t="str">
        <x:f>IF(COUNTIFS('Milestones'!$A$2:$A$7,G205)&lt;&gt;1,"BAD GATE",IF(M205&lt;=VLOOKUP(G205,'Milestones'!$A$2:$C$7,3,FALSE),"OK","LATE"))</x:f>
        <x:v>OK</x:v>
      </x:c>
      <x:c r="AB205" s="12" t="n">
        <x:f>IF(OR(V205="Done",V205="Cut"),"",M205-TODAY())</x:f>
        <x:v>23</x:v>
      </x:c>
    </x:row>
    <x:row r="206" ht="90" customHeight="1">
      <x:c r="A206" s="7" t="str">
        <x:v>DEMO-ZHA-R1</x:v>
      </x:c>
      <x:c r="B206" s="7" t="str">
        <x:v>Participate in rehearsal one and random Q&amp;A</x:v>
      </x:c>
      <x:c r="C206" s="9" t="str">
        <x:v>Attend the full timed demo; driver runs CARLA while other members present and answer.</x:v>
      </x:c>
      <x:c r="D206" s="9" t="str">
        <x:v>Attendance and own timing/knowledge gaps recorded; backup playback practised.</x:v>
      </x:c>
      <x:c r="E206" s="7" t="str">
        <x:v>Demo</x:v>
      </x:c>
      <x:c r="F206" s="7" t="str">
        <x:v>A</x:v>
      </x:c>
      <x:c r="G206" s="7" t="str">
        <x:v>G5</x:v>
      </x:c>
      <x:c r="H206" s="7" t="str">
        <x:v>P0 must</x:v>
      </x:c>
      <x:c r="I206" s="7" t="str">
        <x:v>Zhaolin</x:v>
      </x:c>
      <x:c r="J206" s="7" t="str">
        <x:f>IF(VLOOKUP(I206,'Team'!$A$2:$B$7,2,FALSE)="","",VLOOKUP(I206,'Team'!$A$2:$B$7,2,FALSE))</x:f>
      </x:c>
      <x:c r="K206" s="7" t="str">
        <x:v>Abdullah</x:v>
      </x:c>
      <x:c r="L206" s="10" t="n">
        <x:v>46325</x:v>
      </x:c>
      <x:c r="M206" s="10" t="n">
        <x:v>46325</x:v>
      </x:c>
      <x:c r="N206" s="11" t="n">
        <x:v>1</x:v>
      </x:c>
      <x:c r="O206" s="7" t="str">
        <x:v>DEMO-02</x:v>
      </x:c>
      <x:c r="P206" s="7" t="str"/>
      <x:c r="Q206" s="7" t="str">
        <x:v>N</x:v>
      </x:c>
      <x:c r="R206" s="7" t="str">
        <x:v>docs/demo-runbook.md</x:v>
      </x:c>
      <x:c r="S206" s="7" t="str">
        <x:v>Rehearsal attendance</x:v>
      </x:c>
      <x:c r="T206" s="7" t="str">
        <x:v>Evidence and limitations</x:v>
      </x:c>
      <x:c r="U206" s="7" t="str">
        <x:v>workstream:a;priority:p0;category:demo</x:v>
      </x:c>
      <x:c r="V206" s="7" t="str">
        <x:v>Todo</x:v>
      </x:c>
      <x:c r="W206" s="7" t="str"/>
      <x:c r="X206" s="9" t="str">
        <x:v>Internal Sydney date. Estimate includes implementation, author checks and handoff; reviewer time is separately budgeted.</x:v>
      </x:c>
      <x:c r="Y206" s="12" t="n">
        <x:f>INT((M206-'Import Guide'!$B$3)/7)+1</x:f>
        <x:v>3</x:v>
      </x:c>
      <x:c r="Z206" s="12" t="str">
        <x:f>VLOOKUP(A206,'Dependencies'!$A$2:$G$224,7,FALSE)</x:f>
        <x:v>OK</x:v>
      </x:c>
      <x:c r="AA206" s="12" t="str">
        <x:f>IF(COUNTIFS('Milestones'!$A$2:$A$7,G206)&lt;&gt;1,"BAD GATE",IF(M206&lt;=VLOOKUP(G206,'Milestones'!$A$2:$C$7,3,FALSE),"OK","LATE"))</x:f>
        <x:v>OK</x:v>
      </x:c>
      <x:c r="AB206" s="12" t="n">
        <x:f>IF(OR(V206="Done",V206="Cut"),"",M206-TODAY())</x:f>
        <x:v>22</x:v>
      </x:c>
    </x:row>
    <x:row r="207" ht="90" customHeight="1">
      <x:c r="A207" s="7" t="str">
        <x:v>REV-SAV-1</x:v>
      </x:c>
      <x:c r="B207" s="7" t="str">
        <x:v>Review Ricky work for Week 1</x:v>
      </x:c>
      <x:c r="C207" s="9" t="str">
        <x:v>Review partner PRs throughout the week, check interfaces and evidence; this row reserves total reviewer time.</x:v>
      </x:c>
      <x:c r="D207" s="9" t="str">
        <x:v>Focused reviews include reproducible checks and a recorded disposition; review backlog zero at gate.</x:v>
      </x:c>
      <x:c r="E207" s="7" t="str">
        <x:v>Process</x:v>
      </x:c>
      <x:c r="F207" s="7" t="str">
        <x:v>F</x:v>
      </x:c>
      <x:c r="G207" s="7" t="str">
        <x:v>G1</x:v>
      </x:c>
      <x:c r="H207" s="7" t="str">
        <x:v>P0 must</x:v>
      </x:c>
      <x:c r="I207" s="7" t="str">
        <x:v>Saviour</x:v>
      </x:c>
      <x:c r="J207" s="7" t="str">
        <x:f>IF(VLOOKUP(I207,'Team'!$A$2:$B$7,2,FALSE)="","",VLOOKUP(I207,'Team'!$A$2:$B$7,2,FALSE))</x:f>
      </x:c>
      <x:c r="K207" s="7" t="str">
        <x:v>Ricky</x:v>
      </x:c>
      <x:c r="L207" s="10" t="n">
        <x:v>46307</x:v>
      </x:c>
      <x:c r="M207" s="10" t="n">
        <x:v>46313</x:v>
      </x:c>
      <x:c r="N207" s="11" t="n">
        <x:v>3</x:v>
      </x:c>
      <x:c r="O207" s="7" t="str">
        <x:v>PROC-01</x:v>
      </x:c>
      <x:c r="P207" s="7" t="str"/>
      <x:c r="Q207" s="7" t="str">
        <x:v>N</x:v>
      </x:c>
      <x:c r="R207" s="7" t="str">
        <x:v>Pull requests; docs/reviews.md</x:v>
      </x:c>
      <x:c r="S207" s="7" t="str">
        <x:v>Week 1 review links</x:v>
      </x:c>
      <x:c r="T207" s="7" t="str">
        <x:v>Scope and rationale</x:v>
      </x:c>
      <x:c r="U207" s="7" t="str">
        <x:v>workstream:f;priority:p0;category:process</x:v>
      </x:c>
      <x:c r="V207" s="7" t="str">
        <x:v>Todo</x:v>
      </x:c>
      <x:c r="W207" s="7" t="str"/>
      <x:c r="X207" s="9" t="str">
        <x:v>Time budget spread across the week, not continuous work or all on due date. Reviews occur before dependent task starts. One row totals &lt;=3 h of short sessions. Same-day handoff: complete/review PROC-01 before starting this task.</x:v>
      </x:c>
      <x:c r="Y207" s="12" t="n">
        <x:f>INT((M207-'Import Guide'!$B$3)/7)+1</x:f>
        <x:v>1</x:v>
      </x:c>
      <x:c r="Z207" s="12" t="str">
        <x:f>VLOOKUP(A207,'Dependencies'!$A$2:$G$224,7,FALSE)</x:f>
        <x:v>OK</x:v>
      </x:c>
      <x:c r="AA207" s="12" t="str">
        <x:f>IF(COUNTIFS('Milestones'!$A$2:$A$7,G207)&lt;&gt;1,"BAD GATE",IF(M207&lt;=VLOOKUP(G207,'Milestones'!$A$2:$C$7,3,FALSE),"OK","LATE"))</x:f>
        <x:v>OK</x:v>
      </x:c>
      <x:c r="AB207" s="12" t="n">
        <x:f>IF(OR(V207="Done",V207="Cut"),"",M207-TODAY())</x:f>
        <x:v>10</x:v>
      </x:c>
    </x:row>
    <x:row r="208" ht="90" customHeight="1">
      <x:c r="A208" s="7" t="str">
        <x:v>COM-SAV-1</x:v>
      </x:c>
      <x:c r="B208" s="7" t="str">
        <x:v>Attend Week 1 integration and cross-training sessions</x:v>
      </x:c>
      <x:c r="C208" s="9" t="str">
        <x:v>Budget kickoff/check-ins and a paired explanation of one unfamiliar module; distribute time through the week.</x:v>
      </x:c>
      <x:c r="D208" s="9" t="str">
        <x:v>Decisions/blockers recorded; member can explain inputs, failure mode and test of partner module.</x:v>
      </x:c>
      <x:c r="E208" s="7" t="str">
        <x:v>Process</x:v>
      </x:c>
      <x:c r="F208" s="7" t="str">
        <x:v>F</x:v>
      </x:c>
      <x:c r="G208" s="7" t="str">
        <x:v>G1</x:v>
      </x:c>
      <x:c r="H208" s="7" t="str">
        <x:v>P0 must</x:v>
      </x:c>
      <x:c r="I208" s="7" t="str">
        <x:v>Saviour</x:v>
      </x:c>
      <x:c r="J208" s="7" t="str">
        <x:f>IF(VLOOKUP(I208,'Team'!$A$2:$B$7,2,FALSE)="","",VLOOKUP(I208,'Team'!$A$2:$B$7,2,FALSE))</x:f>
      </x:c>
      <x:c r="K208" s="7" t="str">
        <x:v>Ricky</x:v>
      </x:c>
      <x:c r="L208" s="10" t="n">
        <x:v>46307</x:v>
      </x:c>
      <x:c r="M208" s="10" t="n">
        <x:v>46313</x:v>
      </x:c>
      <x:c r="N208" s="11" t="n">
        <x:v>1.5</x:v>
      </x:c>
      <x:c r="O208" s="7" t="str"/>
      <x:c r="P208" s="7" t="str"/>
      <x:c r="Q208" s="7" t="str">
        <x:v>N</x:v>
      </x:c>
      <x:c r="R208" s="7" t="str">
        <x:v>docs/knowledge-matrix.md</x:v>
      </x:c>
      <x:c r="S208" s="7" t="str">
        <x:v>Week 1 cross-training record</x:v>
      </x:c>
      <x:c r="T208" s="7" t="str">
        <x:v>Scope and rationale</x:v>
      </x:c>
      <x:c r="U208" s="7" t="str">
        <x:v>workstream:f;priority:p0;category:process</x:v>
      </x:c>
      <x:c r="V208" s="7" t="str">
        <x:v>Todo</x:v>
      </x:c>
      <x:c r="W208" s="7" t="str"/>
      <x:c r="X208" s="9" t="str">
        <x:v>Time budget spread across the week, not continuous work or all on due date. Reviews occur before dependent task starts. One row totals &lt;=3 h of short sessions.</x:v>
      </x:c>
      <x:c r="Y208" s="12" t="n">
        <x:f>INT((M208-'Import Guide'!$B$3)/7)+1</x:f>
        <x:v>1</x:v>
      </x:c>
      <x:c r="Z208" s="12" t="str">
        <x:f>VLOOKUP(A208,'Dependencies'!$A$2:$G$224,7,FALSE)</x:f>
        <x:v>OK</x:v>
      </x:c>
      <x:c r="AA208" s="12" t="str">
        <x:f>IF(COUNTIFS('Milestones'!$A$2:$A$7,G208)&lt;&gt;1,"BAD GATE",IF(M208&lt;=VLOOKUP(G208,'Milestones'!$A$2:$C$7,3,FALSE),"OK","LATE"))</x:f>
        <x:v>OK</x:v>
      </x:c>
      <x:c r="AB208" s="12" t="n">
        <x:f>IF(OR(V208="Done",V208="Cut"),"",M208-TODAY())</x:f>
        <x:v>10</x:v>
      </x:c>
    </x:row>
    <x:row r="209" ht="90" customHeight="1">
      <x:c r="A209" s="7" t="str">
        <x:v>IND-SAV-AI1</x:v>
      </x:c>
      <x:c r="B209" s="7" t="str">
        <x:v>Check Week 1 AI Journal and commit disclosures</x:v>
      </x:c>
      <x:c r="C209" s="9" t="str">
        <x:v>Privately reconcile significant VSCode AI Journal entries with commits and reviews.</x:v>
      </x:c>
      <x:c r="D209" s="9" t="str">
        <x:v>All significant interactions recorded; AI-assisted footer names actual reviewer; journal content stays private.</x:v>
      </x:c>
      <x:c r="E209" s="7" t="str">
        <x:v>Individual</x:v>
      </x:c>
      <x:c r="F209" s="7" t="str">
        <x:v>F</x:v>
      </x:c>
      <x:c r="G209" s="7" t="str">
        <x:v>G1</x:v>
      </x:c>
      <x:c r="H209" s="7" t="str">
        <x:v>P0 must</x:v>
      </x:c>
      <x:c r="I209" s="7" t="str">
        <x:v>Saviour</x:v>
      </x:c>
      <x:c r="J209" s="7" t="str">
        <x:f>IF(VLOOKUP(I209,'Team'!$A$2:$B$7,2,FALSE)="","",VLOOKUP(I209,'Team'!$A$2:$B$7,2,FALSE))</x:f>
      </x:c>
      <x:c r="K209" s="7" t="str">
        <x:v>Ricky</x:v>
      </x:c>
      <x:c r="L209" s="10" t="n">
        <x:v>46313</x:v>
      </x:c>
      <x:c r="M209" s="10" t="n">
        <x:v>46313</x:v>
      </x:c>
      <x:c r="N209" s="11" t="n">
        <x:v>0.5</x:v>
      </x:c>
      <x:c r="O209" s="7" t="str"/>
      <x:c r="P209" s="7" t="str"/>
      <x:c r="Q209" s="7" t="str">
        <x:v>N</x:v>
      </x:c>
      <x:c r="R209" s="7" t="str">
        <x:v>Private AI Journal; commit history</x:v>
      </x:c>
      <x:c r="S209" s="7" t="str">
        <x:v>Private completion confirmation only</x:v>
      </x:c>
      <x:c r="T209" s="7" t="str">
        <x:v>Individual (private)</x:v>
      </x:c>
      <x:c r="U209" s="7" t="str">
        <x:v>workstream:f;priority:p0;category:individual</x:v>
      </x:c>
      <x:c r="V209" s="7" t="str">
        <x:v>Todo</x:v>
      </x:c>
      <x:c r="W209" s="7" t="str"/>
      <x:c r="X209" s="9" t="str">
        <x:v>Internal readiness date only. Actual Canvas/Week 13/SparkPLUS deadlines are unconfirmed. Public task stores no private reflection or assessment content.</x:v>
      </x:c>
      <x:c r="Y209" s="12" t="n">
        <x:f>INT((M209-'Import Guide'!$B$3)/7)+1</x:f>
        <x:v>1</x:v>
      </x:c>
      <x:c r="Z209" s="12" t="str">
        <x:f>VLOOKUP(A209,'Dependencies'!$A$2:$G$224,7,FALSE)</x:f>
        <x:v>OK</x:v>
      </x:c>
      <x:c r="AA209" s="12" t="str">
        <x:f>IF(COUNTIFS('Milestones'!$A$2:$A$7,G209)&lt;&gt;1,"BAD GATE",IF(M209&lt;=VLOOKUP(G209,'Milestones'!$A$2:$C$7,3,FALSE),"OK","LATE"))</x:f>
        <x:v>OK</x:v>
      </x:c>
      <x:c r="AB209" s="12" t="n">
        <x:f>IF(OR(V209="Done",V209="Cut"),"",M209-TODAY())</x:f>
        <x:v>10</x:v>
      </x:c>
    </x:row>
    <x:row r="210" ht="90" customHeight="1">
      <x:c r="A210" s="7" t="str">
        <x:v>REV-SAV-2</x:v>
      </x:c>
      <x:c r="B210" s="7" t="str">
        <x:v>Review Ricky work for Week 2</x:v>
      </x:c>
      <x:c r="C210" s="9" t="str">
        <x:v>Review partner PRs throughout the week, check interfaces and evidence; this row reserves total reviewer time.</x:v>
      </x:c>
      <x:c r="D210" s="9" t="str">
        <x:v>Focused reviews include reproducible checks and a recorded disposition; review backlog zero at gate.</x:v>
      </x:c>
      <x:c r="E210" s="7" t="str">
        <x:v>Process</x:v>
      </x:c>
      <x:c r="F210" s="7" t="str">
        <x:v>F</x:v>
      </x:c>
      <x:c r="G210" s="7" t="str">
        <x:v>G3</x:v>
      </x:c>
      <x:c r="H210" s="7" t="str">
        <x:v>P0 must</x:v>
      </x:c>
      <x:c r="I210" s="7" t="str">
        <x:v>Saviour</x:v>
      </x:c>
      <x:c r="J210" s="7" t="str">
        <x:f>IF(VLOOKUP(I210,'Team'!$A$2:$B$7,2,FALSE)="","",VLOOKUP(I210,'Team'!$A$2:$B$7,2,FALSE))</x:f>
      </x:c>
      <x:c r="K210" s="7" t="str">
        <x:v>Ricky</x:v>
      </x:c>
      <x:c r="L210" s="10" t="n">
        <x:v>46314</x:v>
      </x:c>
      <x:c r="M210" s="10" t="n">
        <x:v>46320</x:v>
      </x:c>
      <x:c r="N210" s="11" t="n">
        <x:v>3</x:v>
      </x:c>
      <x:c r="O210" s="7" t="str">
        <x:v>PROC-01</x:v>
      </x:c>
      <x:c r="P210" s="7" t="str"/>
      <x:c r="Q210" s="7" t="str">
        <x:v>N</x:v>
      </x:c>
      <x:c r="R210" s="7" t="str">
        <x:v>Pull requests; docs/reviews.md</x:v>
      </x:c>
      <x:c r="S210" s="7" t="str">
        <x:v>Week 2 review links</x:v>
      </x:c>
      <x:c r="T210" s="7" t="str">
        <x:v>Scope and rationale</x:v>
      </x:c>
      <x:c r="U210" s="7" t="str">
        <x:v>workstream:f;priority:p0;category:process</x:v>
      </x:c>
      <x:c r="V210" s="7" t="str">
        <x:v>Todo</x:v>
      </x:c>
      <x:c r="W210" s="7" t="str"/>
      <x:c r="X210" s="9" t="str">
        <x:v>Time budget spread across the week, not continuous work or all on due date. Reviews occur before dependent task starts. One row totals &lt;=3 h of short sessions.</x:v>
      </x:c>
      <x:c r="Y210" s="12" t="n">
        <x:f>INT((M210-'Import Guide'!$B$3)/7)+1</x:f>
        <x:v>2</x:v>
      </x:c>
      <x:c r="Z210" s="12" t="str">
        <x:f>VLOOKUP(A210,'Dependencies'!$A$2:$G$224,7,FALSE)</x:f>
        <x:v>OK</x:v>
      </x:c>
      <x:c r="AA210" s="12" t="str">
        <x:f>IF(COUNTIFS('Milestones'!$A$2:$A$7,G210)&lt;&gt;1,"BAD GATE",IF(M210&lt;=VLOOKUP(G210,'Milestones'!$A$2:$C$7,3,FALSE),"OK","LATE"))</x:f>
        <x:v>OK</x:v>
      </x:c>
      <x:c r="AB210" s="12" t="n">
        <x:f>IF(OR(V210="Done",V210="Cut"),"",M210-TODAY())</x:f>
        <x:v>17</x:v>
      </x:c>
    </x:row>
    <x:row r="211" ht="90" customHeight="1">
      <x:c r="A211" s="7" t="str">
        <x:v>COM-SAV-2</x:v>
      </x:c>
      <x:c r="B211" s="7" t="str">
        <x:v>Attend Week 2 integration and cross-training sessions</x:v>
      </x:c>
      <x:c r="C211" s="9" t="str">
        <x:v>Budget kickoff/check-ins and a paired explanation of one unfamiliar module; distribute time through the week.</x:v>
      </x:c>
      <x:c r="D211" s="9" t="str">
        <x:v>Decisions/blockers recorded; member can explain inputs, failure mode and test of partner module.</x:v>
      </x:c>
      <x:c r="E211" s="7" t="str">
        <x:v>Process</x:v>
      </x:c>
      <x:c r="F211" s="7" t="str">
        <x:v>F</x:v>
      </x:c>
      <x:c r="G211" s="7" t="str">
        <x:v>G3</x:v>
      </x:c>
      <x:c r="H211" s="7" t="str">
        <x:v>P0 must</x:v>
      </x:c>
      <x:c r="I211" s="7" t="str">
        <x:v>Saviour</x:v>
      </x:c>
      <x:c r="J211" s="7" t="str">
        <x:f>IF(VLOOKUP(I211,'Team'!$A$2:$B$7,2,FALSE)="","",VLOOKUP(I211,'Team'!$A$2:$B$7,2,FALSE))</x:f>
      </x:c>
      <x:c r="K211" s="7" t="str">
        <x:v>Ricky</x:v>
      </x:c>
      <x:c r="L211" s="10" t="n">
        <x:v>46314</x:v>
      </x:c>
      <x:c r="M211" s="10" t="n">
        <x:v>46320</x:v>
      </x:c>
      <x:c r="N211" s="11" t="n">
        <x:v>1.5</x:v>
      </x:c>
      <x:c r="O211" s="7" t="str"/>
      <x:c r="P211" s="7" t="str"/>
      <x:c r="Q211" s="7" t="str">
        <x:v>N</x:v>
      </x:c>
      <x:c r="R211" s="7" t="str">
        <x:v>docs/knowledge-matrix.md</x:v>
      </x:c>
      <x:c r="S211" s="7" t="str">
        <x:v>Week 2 cross-training record</x:v>
      </x:c>
      <x:c r="T211" s="7" t="str">
        <x:v>Scope and rationale</x:v>
      </x:c>
      <x:c r="U211" s="7" t="str">
        <x:v>workstream:f;priority:p0;category:process</x:v>
      </x:c>
      <x:c r="V211" s="7" t="str">
        <x:v>Todo</x:v>
      </x:c>
      <x:c r="W211" s="7" t="str"/>
      <x:c r="X211" s="9" t="str">
        <x:v>Time budget spread across the week, not continuous work or all on due date. Reviews occur before dependent task starts. One row totals &lt;=3 h of short sessions.</x:v>
      </x:c>
      <x:c r="Y211" s="12" t="n">
        <x:f>INT((M211-'Import Guide'!$B$3)/7)+1</x:f>
        <x:v>2</x:v>
      </x:c>
      <x:c r="Z211" s="12" t="str">
        <x:f>VLOOKUP(A211,'Dependencies'!$A$2:$G$224,7,FALSE)</x:f>
        <x:v>OK</x:v>
      </x:c>
      <x:c r="AA211" s="12" t="str">
        <x:f>IF(COUNTIFS('Milestones'!$A$2:$A$7,G211)&lt;&gt;1,"BAD GATE",IF(M211&lt;=VLOOKUP(G211,'Milestones'!$A$2:$C$7,3,FALSE),"OK","LATE"))</x:f>
        <x:v>OK</x:v>
      </x:c>
      <x:c r="AB211" s="12" t="n">
        <x:f>IF(OR(V211="Done",V211="Cut"),"",M211-TODAY())</x:f>
        <x:v>17</x:v>
      </x:c>
    </x:row>
    <x:row r="212" ht="90" customHeight="1">
      <x:c r="A212" s="7" t="str">
        <x:v>IND-SAV-AI2</x:v>
      </x:c>
      <x:c r="B212" s="7" t="str">
        <x:v>Check Week 2 AI Journal and commit disclosures</x:v>
      </x:c>
      <x:c r="C212" s="9" t="str">
        <x:v>Privately reconcile significant VSCode AI Journal entries with commits and reviews.</x:v>
      </x:c>
      <x:c r="D212" s="9" t="str">
        <x:v>All significant interactions recorded; AI-assisted footer names actual reviewer; journal content stays private.</x:v>
      </x:c>
      <x:c r="E212" s="7" t="str">
        <x:v>Individual</x:v>
      </x:c>
      <x:c r="F212" s="7" t="str">
        <x:v>F</x:v>
      </x:c>
      <x:c r="G212" s="7" t="str">
        <x:v>G3</x:v>
      </x:c>
      <x:c r="H212" s="7" t="str">
        <x:v>P0 must</x:v>
      </x:c>
      <x:c r="I212" s="7" t="str">
        <x:v>Saviour</x:v>
      </x:c>
      <x:c r="J212" s="7" t="str">
        <x:f>IF(VLOOKUP(I212,'Team'!$A$2:$B$7,2,FALSE)="","",VLOOKUP(I212,'Team'!$A$2:$B$7,2,FALSE))</x:f>
      </x:c>
      <x:c r="K212" s="7" t="str">
        <x:v>Ricky</x:v>
      </x:c>
      <x:c r="L212" s="10" t="n">
        <x:v>46320</x:v>
      </x:c>
      <x:c r="M212" s="10" t="n">
        <x:v>46320</x:v>
      </x:c>
      <x:c r="N212" s="11" t="n">
        <x:v>0.5</x:v>
      </x:c>
      <x:c r="O212" s="7" t="str"/>
      <x:c r="P212" s="7" t="str"/>
      <x:c r="Q212" s="7" t="str">
        <x:v>N</x:v>
      </x:c>
      <x:c r="R212" s="7" t="str">
        <x:v>Private AI Journal; commit history</x:v>
      </x:c>
      <x:c r="S212" s="7" t="str">
        <x:v>Private completion confirmation only</x:v>
      </x:c>
      <x:c r="T212" s="7" t="str">
        <x:v>Individual (private)</x:v>
      </x:c>
      <x:c r="U212" s="7" t="str">
        <x:v>workstream:f;priority:p0;category:individual</x:v>
      </x:c>
      <x:c r="V212" s="7" t="str">
        <x:v>Todo</x:v>
      </x:c>
      <x:c r="W212" s="7" t="str"/>
      <x:c r="X212" s="9" t="str">
        <x:v>Internal readiness date only. Actual Canvas/Week 13/SparkPLUS deadlines are unconfirmed. Public task stores no private reflection or assessment content.</x:v>
      </x:c>
      <x:c r="Y212" s="12" t="n">
        <x:f>INT((M212-'Import Guide'!$B$3)/7)+1</x:f>
        <x:v>2</x:v>
      </x:c>
      <x:c r="Z212" s="12" t="str">
        <x:f>VLOOKUP(A212,'Dependencies'!$A$2:$G$224,7,FALSE)</x:f>
        <x:v>OK</x:v>
      </x:c>
      <x:c r="AA212" s="12" t="str">
        <x:f>IF(COUNTIFS('Milestones'!$A$2:$A$7,G212)&lt;&gt;1,"BAD GATE",IF(M212&lt;=VLOOKUP(G212,'Milestones'!$A$2:$C$7,3,FALSE),"OK","LATE"))</x:f>
        <x:v>OK</x:v>
      </x:c>
      <x:c r="AB212" s="12" t="n">
        <x:f>IF(OR(V212="Done",V212="Cut"),"",M212-TODAY())</x:f>
        <x:v>17</x:v>
      </x:c>
    </x:row>
    <x:row r="213" ht="90" customHeight="1">
      <x:c r="A213" s="7" t="str">
        <x:v>REV-SAV-3</x:v>
      </x:c>
      <x:c r="B213" s="7" t="str">
        <x:v>Review Ricky work for Week 3</x:v>
      </x:c>
      <x:c r="C213" s="9" t="str">
        <x:v>Review partner PRs throughout the week, check interfaces and evidence; this row reserves total reviewer time.</x:v>
      </x:c>
      <x:c r="D213" s="9" t="str">
        <x:v>Focused reviews include reproducible checks and a recorded disposition; review backlog zero at gate.</x:v>
      </x:c>
      <x:c r="E213" s="7" t="str">
        <x:v>Process</x:v>
      </x:c>
      <x:c r="F213" s="7" t="str">
        <x:v>F</x:v>
      </x:c>
      <x:c r="G213" s="7" t="str">
        <x:v>G5</x:v>
      </x:c>
      <x:c r="H213" s="7" t="str">
        <x:v>P0 must</x:v>
      </x:c>
      <x:c r="I213" s="7" t="str">
        <x:v>Saviour</x:v>
      </x:c>
      <x:c r="J213" s="7" t="str">
        <x:f>IF(VLOOKUP(I213,'Team'!$A$2:$B$7,2,FALSE)="","",VLOOKUP(I213,'Team'!$A$2:$B$7,2,FALSE))</x:f>
      </x:c>
      <x:c r="K213" s="7" t="str">
        <x:v>Ricky</x:v>
      </x:c>
      <x:c r="L213" s="10" t="n">
        <x:v>46321</x:v>
      </x:c>
      <x:c r="M213" s="10" t="n">
        <x:v>46326</x:v>
      </x:c>
      <x:c r="N213" s="11" t="n">
        <x:v>3</x:v>
      </x:c>
      <x:c r="O213" s="7" t="str">
        <x:v>PROC-01</x:v>
      </x:c>
      <x:c r="P213" s="7" t="str"/>
      <x:c r="Q213" s="7" t="str">
        <x:v>N</x:v>
      </x:c>
      <x:c r="R213" s="7" t="str">
        <x:v>Pull requests; docs/reviews.md</x:v>
      </x:c>
      <x:c r="S213" s="7" t="str">
        <x:v>Week 3 review links</x:v>
      </x:c>
      <x:c r="T213" s="7" t="str">
        <x:v>Scope and rationale</x:v>
      </x:c>
      <x:c r="U213" s="7" t="str">
        <x:v>workstream:f;priority:p0;category:process</x:v>
      </x:c>
      <x:c r="V213" s="7" t="str">
        <x:v>Todo</x:v>
      </x:c>
      <x:c r="W213" s="7" t="str"/>
      <x:c r="X213" s="9" t="str">
        <x:v>Time budget spread across the week, not continuous work or all on due date. Reviews occur before dependent task starts. One row totals &lt;=3 h of short sessions.</x:v>
      </x:c>
      <x:c r="Y213" s="12" t="n">
        <x:f>INT((M213-'Import Guide'!$B$3)/7)+1</x:f>
        <x:v>3</x:v>
      </x:c>
      <x:c r="Z213" s="12" t="str">
        <x:f>VLOOKUP(A213,'Dependencies'!$A$2:$G$224,7,FALSE)</x:f>
        <x:v>OK</x:v>
      </x:c>
      <x:c r="AA213" s="12" t="str">
        <x:f>IF(COUNTIFS('Milestones'!$A$2:$A$7,G213)&lt;&gt;1,"BAD GATE",IF(M213&lt;=VLOOKUP(G213,'Milestones'!$A$2:$C$7,3,FALSE),"OK","LATE"))</x:f>
        <x:v>OK</x:v>
      </x:c>
      <x:c r="AB213" s="12" t="n">
        <x:f>IF(OR(V213="Done",V213="Cut"),"",M213-TODAY())</x:f>
        <x:v>23</x:v>
      </x:c>
    </x:row>
    <x:row r="214" ht="90" customHeight="1">
      <x:c r="A214" s="7" t="str">
        <x:v>COM-SAV-3</x:v>
      </x:c>
      <x:c r="B214" s="7" t="str">
        <x:v>Attend Week 3 integration and cross-training sessions</x:v>
      </x:c>
      <x:c r="C214" s="9" t="str">
        <x:v>Budget kickoff/check-ins and a paired explanation of one unfamiliar module; distribute time through the week.</x:v>
      </x:c>
      <x:c r="D214" s="9" t="str">
        <x:v>Decisions/blockers recorded; member can explain inputs, failure mode and test of partner module.</x:v>
      </x:c>
      <x:c r="E214" s="7" t="str">
        <x:v>Process</x:v>
      </x:c>
      <x:c r="F214" s="7" t="str">
        <x:v>F</x:v>
      </x:c>
      <x:c r="G214" s="7" t="str">
        <x:v>G5</x:v>
      </x:c>
      <x:c r="H214" s="7" t="str">
        <x:v>P0 must</x:v>
      </x:c>
      <x:c r="I214" s="7" t="str">
        <x:v>Saviour</x:v>
      </x:c>
      <x:c r="J214" s="7" t="str">
        <x:f>IF(VLOOKUP(I214,'Team'!$A$2:$B$7,2,FALSE)="","",VLOOKUP(I214,'Team'!$A$2:$B$7,2,FALSE))</x:f>
      </x:c>
      <x:c r="K214" s="7" t="str">
        <x:v>Ricky</x:v>
      </x:c>
      <x:c r="L214" s="10" t="n">
        <x:v>46321</x:v>
      </x:c>
      <x:c r="M214" s="10" t="n">
        <x:v>46326</x:v>
      </x:c>
      <x:c r="N214" s="11" t="n">
        <x:v>1.5</x:v>
      </x:c>
      <x:c r="O214" s="7" t="str"/>
      <x:c r="P214" s="7" t="str"/>
      <x:c r="Q214" s="7" t="str">
        <x:v>N</x:v>
      </x:c>
      <x:c r="R214" s="7" t="str">
        <x:v>docs/knowledge-matrix.md</x:v>
      </x:c>
      <x:c r="S214" s="7" t="str">
        <x:v>Week 3 cross-training record</x:v>
      </x:c>
      <x:c r="T214" s="7" t="str">
        <x:v>Scope and rationale</x:v>
      </x:c>
      <x:c r="U214" s="7" t="str">
        <x:v>workstream:f;priority:p0;category:process</x:v>
      </x:c>
      <x:c r="V214" s="7" t="str">
        <x:v>Todo</x:v>
      </x:c>
      <x:c r="W214" s="7" t="str"/>
      <x:c r="X214" s="9" t="str">
        <x:v>Time budget spread across the week, not continuous work or all on due date. Reviews occur before dependent task starts. One row totals &lt;=3 h of short sessions.</x:v>
      </x:c>
      <x:c r="Y214" s="12" t="n">
        <x:f>INT((M214-'Import Guide'!$B$3)/7)+1</x:f>
        <x:v>3</x:v>
      </x:c>
      <x:c r="Z214" s="12" t="str">
        <x:f>VLOOKUP(A214,'Dependencies'!$A$2:$G$224,7,FALSE)</x:f>
        <x:v>OK</x:v>
      </x:c>
      <x:c r="AA214" s="12" t="str">
        <x:f>IF(COUNTIFS('Milestones'!$A$2:$A$7,G214)&lt;&gt;1,"BAD GATE",IF(M214&lt;=VLOOKUP(G214,'Milestones'!$A$2:$C$7,3,FALSE),"OK","LATE"))</x:f>
        <x:v>OK</x:v>
      </x:c>
      <x:c r="AB214" s="12" t="n">
        <x:f>IF(OR(V214="Done",V214="Cut"),"",M214-TODAY())</x:f>
        <x:v>23</x:v>
      </x:c>
    </x:row>
    <x:row r="215" ht="90" customHeight="1">
      <x:c r="A215" s="7" t="str">
        <x:v>IND-SAV-AI3</x:v>
      </x:c>
      <x:c r="B215" s="7" t="str">
        <x:v>Check Week 3 AI Journal and commit disclosures</x:v>
      </x:c>
      <x:c r="C215" s="9" t="str">
        <x:v>Privately reconcile significant VSCode AI Journal entries with commits and reviews.</x:v>
      </x:c>
      <x:c r="D215" s="9" t="str">
        <x:v>All significant interactions recorded; AI-assisted footer names actual reviewer; journal content stays private.</x:v>
      </x:c>
      <x:c r="E215" s="7" t="str">
        <x:v>Individual</x:v>
      </x:c>
      <x:c r="F215" s="7" t="str">
        <x:v>F</x:v>
      </x:c>
      <x:c r="G215" s="7" t="str">
        <x:v>G5</x:v>
      </x:c>
      <x:c r="H215" s="7" t="str">
        <x:v>P0 must</x:v>
      </x:c>
      <x:c r="I215" s="7" t="str">
        <x:v>Saviour</x:v>
      </x:c>
      <x:c r="J215" s="7" t="str">
        <x:f>IF(VLOOKUP(I215,'Team'!$A$2:$B$7,2,FALSE)="","",VLOOKUP(I215,'Team'!$A$2:$B$7,2,FALSE))</x:f>
      </x:c>
      <x:c r="K215" s="7" t="str">
        <x:v>Ricky</x:v>
      </x:c>
      <x:c r="L215" s="10" t="n">
        <x:v>46326</x:v>
      </x:c>
      <x:c r="M215" s="10" t="n">
        <x:v>46326</x:v>
      </x:c>
      <x:c r="N215" s="11" t="n">
        <x:v>0.5</x:v>
      </x:c>
      <x:c r="O215" s="7" t="str"/>
      <x:c r="P215" s="7" t="str"/>
      <x:c r="Q215" s="7" t="str">
        <x:v>N</x:v>
      </x:c>
      <x:c r="R215" s="7" t="str">
        <x:v>Private AI Journal; commit history</x:v>
      </x:c>
      <x:c r="S215" s="7" t="str">
        <x:v>Private completion confirmation only</x:v>
      </x:c>
      <x:c r="T215" s="7" t="str">
        <x:v>Individual (private)</x:v>
      </x:c>
      <x:c r="U215" s="7" t="str">
        <x:v>workstream:f;priority:p0;category:individual</x:v>
      </x:c>
      <x:c r="V215" s="7" t="str">
        <x:v>Todo</x:v>
      </x:c>
      <x:c r="W215" s="7" t="str"/>
      <x:c r="X215" s="9" t="str">
        <x:v>Internal readiness date only. Actual Canvas/Week 13/SparkPLUS deadlines are unconfirmed. Public task stores no private reflection or assessment content.</x:v>
      </x:c>
      <x:c r="Y215" s="12" t="n">
        <x:f>INT((M215-'Import Guide'!$B$3)/7)+1</x:f>
        <x:v>3</x:v>
      </x:c>
      <x:c r="Z215" s="12" t="str">
        <x:f>VLOOKUP(A215,'Dependencies'!$A$2:$G$224,7,FALSE)</x:f>
        <x:v>OK</x:v>
      </x:c>
      <x:c r="AA215" s="12" t="str">
        <x:f>IF(COUNTIFS('Milestones'!$A$2:$A$7,G215)&lt;&gt;1,"BAD GATE",IF(M215&lt;=VLOOKUP(G215,'Milestones'!$A$2:$C$7,3,FALSE),"OK","LATE"))</x:f>
        <x:v>OK</x:v>
      </x:c>
      <x:c r="AB215" s="12" t="n">
        <x:f>IF(OR(V215="Done",V215="Cut"),"",M215-TODAY())</x:f>
        <x:v>23</x:v>
      </x:c>
    </x:row>
    <x:row r="216" ht="90" customHeight="1">
      <x:c r="A216" s="7" t="str">
        <x:v>IND-SAV-REF</x:v>
      </x:c>
      <x:c r="B216" s="7" t="str">
        <x:v>Draft and privately check individual self-reflection</x:v>
      </x:c>
      <x:c r="C216" s="9" t="str">
        <x:v>Address contribution links, challenge/learning and specific AI Journal entries; this is readiness, not assumed submission.</x:v>
      </x:c>
      <x:c r="D216" s="9" t="str">
        <x:v>At most 1 page and 400 words; private file ready for actual Canvas deadline.</x:v>
      </x:c>
      <x:c r="E216" s="7" t="str">
        <x:v>Individual</x:v>
      </x:c>
      <x:c r="F216" s="7" t="str">
        <x:v>F</x:v>
      </x:c>
      <x:c r="G216" s="7" t="str">
        <x:v>G5</x:v>
      </x:c>
      <x:c r="H216" s="7" t="str">
        <x:v>P0 must</x:v>
      </x:c>
      <x:c r="I216" s="7" t="str">
        <x:v>Saviour</x:v>
      </x:c>
      <x:c r="J216" s="7" t="str">
        <x:f>IF(VLOOKUP(I216,'Team'!$A$2:$B$7,2,FALSE)="","",VLOOKUP(I216,'Team'!$A$2:$B$7,2,FALSE))</x:f>
      </x:c>
      <x:c r="K216" s="7" t="str">
        <x:v>Ricky</x:v>
      </x:c>
      <x:c r="L216" s="10" t="n">
        <x:v>46325</x:v>
      </x:c>
      <x:c r="M216" s="10" t="n">
        <x:v>46325</x:v>
      </x:c>
      <x:c r="N216" s="11" t="n">
        <x:v>1</x:v>
      </x:c>
      <x:c r="O216" s="7" t="str"/>
      <x:c r="P216" s="7" t="str"/>
      <x:c r="Q216" s="7" t="str">
        <x:v>N</x:v>
      </x:c>
      <x:c r="R216" s="7" t="str">
        <x:v>Private self-reflection</x:v>
      </x:c>
      <x:c r="S216" s="7" t="str">
        <x:v>Private completion confirmation only</x:v>
      </x:c>
      <x:c r="T216" s="7" t="str">
        <x:v>Individual (private)</x:v>
      </x:c>
      <x:c r="U216" s="7" t="str">
        <x:v>workstream:f;priority:p0;category:individual</x:v>
      </x:c>
      <x:c r="V216" s="7" t="str">
        <x:v>Todo</x:v>
      </x:c>
      <x:c r="W216" s="7" t="str"/>
      <x:c r="X216" s="9" t="str">
        <x:v>Internal readiness date only. Actual Canvas/Week 13/SparkPLUS deadlines are unconfirmed. Public task stores no private reflection or assessment content.</x:v>
      </x:c>
      <x:c r="Y216" s="12" t="n">
        <x:f>INT((M216-'Import Guide'!$B$3)/7)+1</x:f>
        <x:v>3</x:v>
      </x:c>
      <x:c r="Z216" s="12" t="str">
        <x:f>VLOOKUP(A216,'Dependencies'!$A$2:$G$224,7,FALSE)</x:f>
        <x:v>OK</x:v>
      </x:c>
      <x:c r="AA216" s="12" t="str">
        <x:f>IF(COUNTIFS('Milestones'!$A$2:$A$7,G216)&lt;&gt;1,"BAD GATE",IF(M216&lt;=VLOOKUP(G216,'Milestones'!$A$2:$C$7,3,FALSE),"OK","LATE"))</x:f>
        <x:v>OK</x:v>
      </x:c>
      <x:c r="AB216" s="12" t="n">
        <x:f>IF(OR(V216="Done",V216="Cut"),"",M216-TODAY())</x:f>
        <x:v>22</x:v>
      </x:c>
    </x:row>
    <x:row r="217" ht="90" customHeight="1">
      <x:c r="A217" s="7" t="str">
        <x:v>IND-SAV-PEER</x:v>
      </x:c>
      <x:c r="B217" s="7" t="str">
        <x:v>Prepare peer-reflection forms and verify lab attendance</x:v>
      </x:c>
      <x:c r="C217" s="9" t="str">
        <x:v>Arrange attendance and two-other-team forms for actual Week 13 lab; completion occurs at the lab.</x:v>
      </x:c>
      <x:c r="D217" s="9" t="str">
        <x:v>Lab slot and at least two-team peer-reflection obligation recorded privately; actual lab task remains pending.</x:v>
      </x:c>
      <x:c r="E217" s="7" t="str">
        <x:v>Individual</x:v>
      </x:c>
      <x:c r="F217" s="7" t="str">
        <x:v>F</x:v>
      </x:c>
      <x:c r="G217" s="7" t="str">
        <x:v>G5</x:v>
      </x:c>
      <x:c r="H217" s="7" t="str">
        <x:v>P0 must</x:v>
      </x:c>
      <x:c r="I217" s="7" t="str">
        <x:v>Saviour</x:v>
      </x:c>
      <x:c r="J217" s="7" t="str">
        <x:f>IF(VLOOKUP(I217,'Team'!$A$2:$B$7,2,FALSE)="","",VLOOKUP(I217,'Team'!$A$2:$B$7,2,FALSE))</x:f>
      </x:c>
      <x:c r="K217" s="7" t="str">
        <x:v>Ricky</x:v>
      </x:c>
      <x:c r="L217" s="10" t="n">
        <x:v>46326</x:v>
      </x:c>
      <x:c r="M217" s="10" t="n">
        <x:v>46326</x:v>
      </x:c>
      <x:c r="N217" s="11" t="n">
        <x:v>0.25</x:v>
      </x:c>
      <x:c r="O217" s="7" t="str"/>
      <x:c r="P217" s="7" t="str"/>
      <x:c r="Q217" s="7" t="str">
        <x:v>N</x:v>
      </x:c>
      <x:c r="R217" s="7" t="str">
        <x:v>Private Canvas checklist</x:v>
      </x:c>
      <x:c r="S217" s="7" t="str">
        <x:v>Prepared confirmation only</x:v>
      </x:c>
      <x:c r="T217" s="7" t="str">
        <x:v>Individual (private)</x:v>
      </x:c>
      <x:c r="U217" s="7" t="str">
        <x:v>workstream:f;priority:p0;category:individual</x:v>
      </x:c>
      <x:c r="V217" s="7" t="str">
        <x:v>Todo</x:v>
      </x:c>
      <x:c r="W217" s="7" t="str"/>
      <x:c r="X217" s="9" t="str">
        <x:v>Internal readiness date only. Actual Canvas/Week 13/SparkPLUS deadlines are unconfirmed. Public task stores no private reflection or assessment content.</x:v>
      </x:c>
      <x:c r="Y217" s="12" t="n">
        <x:f>INT((M217-'Import Guide'!$B$3)/7)+1</x:f>
        <x:v>3</x:v>
      </x:c>
      <x:c r="Z217" s="12" t="str">
        <x:f>VLOOKUP(A217,'Dependencies'!$A$2:$G$224,7,FALSE)</x:f>
        <x:v>OK</x:v>
      </x:c>
      <x:c r="AA217" s="12" t="str">
        <x:f>IF(COUNTIFS('Milestones'!$A$2:$A$7,G217)&lt;&gt;1,"BAD GATE",IF(M217&lt;=VLOOKUP(G217,'Milestones'!$A$2:$C$7,3,FALSE),"OK","LATE"))</x:f>
        <x:v>OK</x:v>
      </x:c>
      <x:c r="AB217" s="12" t="n">
        <x:f>IF(OR(V217="Done",V217="Cut"),"",M217-TODAY())</x:f>
        <x:v>23</x:v>
      </x:c>
    </x:row>
    <x:row r="218" ht="90" customHeight="1">
      <x:c r="A218" s="7" t="str">
        <x:v>IND-SAV-SPARK</x:v>
      </x:c>
      <x:c r="B218" s="7" t="str">
        <x:v>Verify SparkPLUS deadline and personal submission reminder</x:v>
      </x:c>
      <x:c r="C218" s="9" t="str">
        <x:v>Check Canvas portal deadline and availability; schedule own reminder; never submit another member's assessment.</x:v>
      </x:c>
      <x:c r="D218" s="9" t="str">
        <x:v>Actual deadline copied privately and reminder set by member; readiness is distinct from completed assessment.</x:v>
      </x:c>
      <x:c r="E218" s="7" t="str">
        <x:v>Individual</x:v>
      </x:c>
      <x:c r="F218" s="7" t="str">
        <x:v>F</x:v>
      </x:c>
      <x:c r="G218" s="7" t="str">
        <x:v>G5</x:v>
      </x:c>
      <x:c r="H218" s="7" t="str">
        <x:v>P0 must</x:v>
      </x:c>
      <x:c r="I218" s="7" t="str">
        <x:v>Saviour</x:v>
      </x:c>
      <x:c r="J218" s="7" t="str">
        <x:f>IF(VLOOKUP(I218,'Team'!$A$2:$B$7,2,FALSE)="","",VLOOKUP(I218,'Team'!$A$2:$B$7,2,FALSE))</x:f>
      </x:c>
      <x:c r="K218" s="7" t="str">
        <x:v>Ricky</x:v>
      </x:c>
      <x:c r="L218" s="10" t="n">
        <x:v>46326</x:v>
      </x:c>
      <x:c r="M218" s="10" t="n">
        <x:v>46326</x:v>
      </x:c>
      <x:c r="N218" s="11" t="n">
        <x:v>0.25</x:v>
      </x:c>
      <x:c r="O218" s="7" t="str"/>
      <x:c r="P218" s="7" t="str"/>
      <x:c r="Q218" s="7" t="str">
        <x:v>N</x:v>
      </x:c>
      <x:c r="R218" s="7" t="str">
        <x:v>Private Canvas checklist</x:v>
      </x:c>
      <x:c r="S218" s="7" t="str">
        <x:v>Deadline verified confirmation only</x:v>
      </x:c>
      <x:c r="T218" s="7" t="str">
        <x:v>Individual (private)</x:v>
      </x:c>
      <x:c r="U218" s="7" t="str">
        <x:v>workstream:f;priority:p0;category:individual</x:v>
      </x:c>
      <x:c r="V218" s="7" t="str">
        <x:v>Todo</x:v>
      </x:c>
      <x:c r="W218" s="7" t="str"/>
      <x:c r="X218" s="9" t="str">
        <x:v>Internal readiness date only. Actual Canvas/Week 13/SparkPLUS deadlines are unconfirmed. Public task stores no private reflection or assessment content.</x:v>
      </x:c>
      <x:c r="Y218" s="12" t="n">
        <x:f>INT((M218-'Import Guide'!$B$3)/7)+1</x:f>
        <x:v>3</x:v>
      </x:c>
      <x:c r="Z218" s="12" t="str">
        <x:f>VLOOKUP(A218,'Dependencies'!$A$2:$G$224,7,FALSE)</x:f>
        <x:v>OK</x:v>
      </x:c>
      <x:c r="AA218" s="12" t="str">
        <x:f>IF(COUNTIFS('Milestones'!$A$2:$A$7,G218)&lt;&gt;1,"BAD GATE",IF(M218&lt;=VLOOKUP(G218,'Milestones'!$A$2:$C$7,3,FALSE),"OK","LATE"))</x:f>
        <x:v>OK</x:v>
      </x:c>
      <x:c r="AB218" s="12" t="n">
        <x:f>IF(OR(V218="Done",V218="Cut"),"",M218-TODAY())</x:f>
        <x:v>23</x:v>
      </x:c>
    </x:row>
    <x:row r="219" ht="90" customHeight="1">
      <x:c r="A219" s="7" t="str">
        <x:v>DEMO-SAV-R1</x:v>
      </x:c>
      <x:c r="B219" s="7" t="str">
        <x:v>Participate in rehearsal one and random Q&amp;A</x:v>
      </x:c>
      <x:c r="C219" s="9" t="str">
        <x:v>Attend the full timed demo; driver runs CARLA while other members present and answer.</x:v>
      </x:c>
      <x:c r="D219" s="9" t="str">
        <x:v>Attendance and own timing/knowledge gaps recorded; backup playback practised.</x:v>
      </x:c>
      <x:c r="E219" s="7" t="str">
        <x:v>Demo</x:v>
      </x:c>
      <x:c r="F219" s="7" t="str">
        <x:v>F</x:v>
      </x:c>
      <x:c r="G219" s="7" t="str">
        <x:v>G5</x:v>
      </x:c>
      <x:c r="H219" s="7" t="str">
        <x:v>P0 must</x:v>
      </x:c>
      <x:c r="I219" s="7" t="str">
        <x:v>Saviour</x:v>
      </x:c>
      <x:c r="J219" s="7" t="str">
        <x:f>IF(VLOOKUP(I219,'Team'!$A$2:$B$7,2,FALSE)="","",VLOOKUP(I219,'Team'!$A$2:$B$7,2,FALSE))</x:f>
      </x:c>
      <x:c r="K219" s="7" t="str">
        <x:v>Ricky</x:v>
      </x:c>
      <x:c r="L219" s="10" t="n">
        <x:v>46325</x:v>
      </x:c>
      <x:c r="M219" s="10" t="n">
        <x:v>46325</x:v>
      </x:c>
      <x:c r="N219" s="11" t="n">
        <x:v>1</x:v>
      </x:c>
      <x:c r="O219" s="7" t="str">
        <x:v>DEMO-02</x:v>
      </x:c>
      <x:c r="P219" s="7" t="str"/>
      <x:c r="Q219" s="7" t="str">
        <x:v>N</x:v>
      </x:c>
      <x:c r="R219" s="7" t="str">
        <x:v>docs/demo-runbook.md</x:v>
      </x:c>
      <x:c r="S219" s="7" t="str">
        <x:v>Rehearsal attendance</x:v>
      </x:c>
      <x:c r="T219" s="7" t="str">
        <x:v>Evidence and limitations</x:v>
      </x:c>
      <x:c r="U219" s="7" t="str">
        <x:v>workstream:f;priority:p0;category:demo</x:v>
      </x:c>
      <x:c r="V219" s="7" t="str">
        <x:v>Todo</x:v>
      </x:c>
      <x:c r="W219" s="7" t="str"/>
      <x:c r="X219" s="9" t="str">
        <x:v>Internal Sydney date. Estimate includes implementation, author checks and handoff; reviewer time is separately budgeted.</x:v>
      </x:c>
      <x:c r="Y219" s="12" t="n">
        <x:f>INT((M219-'Import Guide'!$B$3)/7)+1</x:f>
        <x:v>3</x:v>
      </x:c>
      <x:c r="Z219" s="12" t="str">
        <x:f>VLOOKUP(A219,'Dependencies'!$A$2:$G$224,7,FALSE)</x:f>
        <x:v>OK</x:v>
      </x:c>
      <x:c r="AA219" s="12" t="str">
        <x:f>IF(COUNTIFS('Milestones'!$A$2:$A$7,G219)&lt;&gt;1,"BAD GATE",IF(M219&lt;=VLOOKUP(G219,'Milestones'!$A$2:$C$7,3,FALSE),"OK","LATE"))</x:f>
        <x:v>OK</x:v>
      </x:c>
      <x:c r="AB219" s="12" t="n">
        <x:f>IF(OR(V219="Done",V219="Cut"),"",M219-TODAY())</x:f>
        <x:v>22</x:v>
      </x:c>
    </x:row>
    <x:row r="220" ht="90" customHeight="1">
      <x:c r="A220" s="7" t="str">
        <x:v>DEMO-SAV-R2</x:v>
      </x:c>
      <x:c r="B220" s="7" t="str">
        <x:v>Participate in rehearsal two and cross-module Q&amp;A</x:v>
      </x:c>
      <x:c r="C220" s="9" t="str">
        <x:v>Attend final run and answer questions outside own workstream.</x:v>
      </x:c>
      <x:c r="D220" s="9" t="str">
        <x:v>All assigned speaking and random Q&amp;A tasks completed; final checklist acknowledged.</x:v>
      </x:c>
      <x:c r="E220" s="7" t="str">
        <x:v>Demo</x:v>
      </x:c>
      <x:c r="F220" s="7" t="str">
        <x:v>F</x:v>
      </x:c>
      <x:c r="G220" s="7" t="str">
        <x:v>G5</x:v>
      </x:c>
      <x:c r="H220" s="7" t="str">
        <x:v>P0 must</x:v>
      </x:c>
      <x:c r="I220" s="7" t="str">
        <x:v>Saviour</x:v>
      </x:c>
      <x:c r="J220" s="7" t="str">
        <x:f>IF(VLOOKUP(I220,'Team'!$A$2:$B$7,2,FALSE)="","",VLOOKUP(I220,'Team'!$A$2:$B$7,2,FALSE))</x:f>
      </x:c>
      <x:c r="K220" s="7" t="str">
        <x:v>Ricky</x:v>
      </x:c>
      <x:c r="L220" s="10" t="n">
        <x:v>46326</x:v>
      </x:c>
      <x:c r="M220" s="10" t="n">
        <x:v>46326</x:v>
      </x:c>
      <x:c r="N220" s="11" t="n">
        <x:v>1</x:v>
      </x:c>
      <x:c r="O220" s="7" t="str">
        <x:v>DEMO-03</x:v>
      </x:c>
      <x:c r="P220" s="7" t="str"/>
      <x:c r="Q220" s="7" t="str">
        <x:v>N</x:v>
      </x:c>
      <x:c r="R220" s="7" t="str">
        <x:v>docs/demo-runbook.md</x:v>
      </x:c>
      <x:c r="S220" s="7" t="str">
        <x:v>Final rehearsal attendance</x:v>
      </x:c>
      <x:c r="T220" s="7" t="str">
        <x:v>Evidence and limitations</x:v>
      </x:c>
      <x:c r="U220" s="7" t="str">
        <x:v>workstream:f;priority:p0;category:demo</x:v>
      </x:c>
      <x:c r="V220" s="7" t="str">
        <x:v>Todo</x:v>
      </x:c>
      <x:c r="W220" s="7" t="str"/>
      <x:c r="X220" s="9" t="str">
        <x:v>Internal Sydney date. Estimate includes implementation, author checks and handoff; reviewer time is separately budgeted.</x:v>
      </x:c>
      <x:c r="Y220" s="12" t="n">
        <x:f>INT((M220-'Import Guide'!$B$3)/7)+1</x:f>
        <x:v>3</x:v>
      </x:c>
      <x:c r="Z220" s="12" t="str">
        <x:f>VLOOKUP(A220,'Dependencies'!$A$2:$G$224,7,FALSE)</x:f>
        <x:v>OK</x:v>
      </x:c>
      <x:c r="AA220" s="12" t="str">
        <x:f>IF(COUNTIFS('Milestones'!$A$2:$A$7,G220)&lt;&gt;1,"BAD GATE",IF(M220&lt;=VLOOKUP(G220,'Milestones'!$A$2:$C$7,3,FALSE),"OK","LATE"))</x:f>
        <x:v>OK</x:v>
      </x:c>
      <x:c r="AB220" s="12" t="n">
        <x:f>IF(OR(V220="Done",V220="Cut"),"",M220-TODAY())</x:f>
        <x:v>23</x:v>
      </x:c>
    </x:row>
    <x:row r="221" ht="90" customHeight="1">
      <x:c r="A221" s="7" t="str">
        <x:v>DOC-17</x:v>
      </x:c>
      <x:c r="B221" s="7" t="str">
        <x:v>Prepare cross-module Q&amp;A prompts and traceable answers</x:v>
      </x:c>
      <x:c r="C221" s="9" t="str">
        <x:v>Collect one data-flow, failure-mode and design-alternative question per module for random assignment.</x:v>
      </x:c>
      <x:c r="D221" s="9" t="str">
        <x:v>Answers link to docs/tests and include limitations; no member restricted to their own module.</x:v>
      </x:c>
      <x:c r="E221" s="7" t="str">
        <x:v>Docs &amp; Report</x:v>
      </x:c>
      <x:c r="F221" s="7" t="str">
        <x:v>C</x:v>
      </x:c>
      <x:c r="G221" s="7" t="str">
        <x:v>G4</x:v>
      </x:c>
      <x:c r="H221" s="7" t="str">
        <x:v>P0 must</x:v>
      </x:c>
      <x:c r="I221" s="7" t="str">
        <x:v>Ricky</x:v>
      </x:c>
      <x:c r="J221" s="7" t="str">
        <x:f>IF(VLOOKUP(I221,'Team'!$A$2:$B$7,2,FALSE)="","",VLOOKUP(I221,'Team'!$A$2:$B$7,2,FALSE))</x:f>
      </x:c>
      <x:c r="K221" s="7" t="str">
        <x:v>Saviour</x:v>
      </x:c>
      <x:c r="L221" s="10" t="n">
        <x:v>46323</x:v>
      </x:c>
      <x:c r="M221" s="10" t="n">
        <x:v>46323</x:v>
      </x:c>
      <x:c r="N221" s="11" t="n">
        <x:v>1.5</x:v>
      </x:c>
      <x:c r="O221" s="7" t="str">
        <x:v>DOC-05,TEST-09</x:v>
      </x:c>
      <x:c r="P221" s="7" t="str"/>
      <x:c r="Q221" s="7" t="str">
        <x:v>N</x:v>
      </x:c>
      <x:c r="R221" s="7" t="str">
        <x:v>docs/qa-practice.md</x:v>
      </x:c>
      <x:c r="S221" s="7" t="str">
        <x:v>Q&amp;A practice sheet</x:v>
      </x:c>
      <x:c r="T221" s="7" t="str">
        <x:v>All four report sections</x:v>
      </x:c>
      <x:c r="U221" s="7" t="str">
        <x:v>workstream:c;priority:p0;category:docs-report</x:v>
      </x:c>
      <x:c r="V221" s="7" t="str">
        <x:v>Todo</x:v>
      </x:c>
      <x:c r="W221" s="7" t="str"/>
      <x:c r="X221" s="9" t="str">
        <x:v>Internal Sydney date. Estimate includes implementation, author checks and handoff; reviewer time is separately budgeted.</x:v>
      </x:c>
      <x:c r="Y221" s="12" t="n">
        <x:f>INT((M221-'Import Guide'!$B$3)/7)+1</x:f>
        <x:v>3</x:v>
      </x:c>
      <x:c r="Z221" s="12" t="str">
        <x:f>VLOOKUP(A221,'Dependencies'!$A$2:$G$224,7,FALSE)</x:f>
        <x:v>OK</x:v>
      </x:c>
      <x:c r="AA221" s="12" t="str">
        <x:f>IF(COUNTIFS('Milestones'!$A$2:$A$7,G221)&lt;&gt;1,"BAD GATE",IF(M221&lt;=VLOOKUP(G221,'Milestones'!$A$2:$C$7,3,FALSE),"OK","LATE"))</x:f>
        <x:v>OK</x:v>
      </x:c>
      <x:c r="AB221" s="12" t="n">
        <x:f>IF(OR(V221="Done",V221="Cut"),"",M221-TODAY())</x:f>
        <x:v>20</x:v>
      </x:c>
    </x:row>
    <x:row r="222" ht="90" customHeight="1">
      <x:c r="A222" s="7" t="str">
        <x:v>DOC-18</x:v>
      </x:c>
      <x:c r="B222" s="7" t="str">
        <x:v>Package final report, video links and release manifest</x:v>
      </x:c>
      <x:c r="C222" s="9" t="str">
        <x:v>Check all filenames/URLs, final hash and model checksums; team owner uses bundle at actual submission date.</x:v>
      </x:c>
      <x:c r="D222" s="9" t="str">
        <x:v>Manifest contains report, video, repository/tag and docs; private individual documents excluded.</x:v>
      </x:c>
      <x:c r="E222" s="7" t="str">
        <x:v>Docs &amp; Report</x:v>
      </x:c>
      <x:c r="F222" s="7" t="str">
        <x:v>C</x:v>
      </x:c>
      <x:c r="G222" s="7" t="str">
        <x:v>G5</x:v>
      </x:c>
      <x:c r="H222" s="7" t="str">
        <x:v>P0 must</x:v>
      </x:c>
      <x:c r="I222" s="7" t="str">
        <x:v>Ricky</x:v>
      </x:c>
      <x:c r="J222" s="7" t="str">
        <x:f>IF(VLOOKUP(I222,'Team'!$A$2:$B$7,2,FALSE)="","",VLOOKUP(I222,'Team'!$A$2:$B$7,2,FALSE))</x:f>
      </x:c>
      <x:c r="K222" s="7" t="str">
        <x:v>Saviour</x:v>
      </x:c>
      <x:c r="L222" s="10" t="n">
        <x:v>46326</x:v>
      </x:c>
      <x:c r="M222" s="10" t="n">
        <x:v>46326</x:v>
      </x:c>
      <x:c r="N222" s="11" t="n">
        <x:v>1.5</x:v>
      </x:c>
      <x:c r="O222" s="7" t="str">
        <x:v>DOC-10,DEMO-02</x:v>
      </x:c>
      <x:c r="P222" s="7" t="str"/>
      <x:c r="Q222" s="7" t="str">
        <x:v>N</x:v>
      </x:c>
      <x:c r="R222" s="7" t="str">
        <x:v>docs/release-manifest.md</x:v>
      </x:c>
      <x:c r="S222" s="7" t="str">
        <x:v>Final submission bundle manifest</x:v>
      </x:c>
      <x:c r="T222" s="7" t="str">
        <x:v>All four report sections</x:v>
      </x:c>
      <x:c r="U222" s="7" t="str">
        <x:v>workstream:c;priority:p0;category:docs-report</x:v>
      </x:c>
      <x:c r="V222" s="7" t="str">
        <x:v>Todo</x:v>
      </x:c>
      <x:c r="W222" s="7" t="str"/>
      <x:c r="X222" s="9" t="str">
        <x:v>Internal Sydney date. Estimate includes implementation, author checks and handoff; reviewer time is separately budgeted.</x:v>
      </x:c>
      <x:c r="Y222" s="12" t="n">
        <x:f>INT((M222-'Import Guide'!$B$3)/7)+1</x:f>
        <x:v>3</x:v>
      </x:c>
      <x:c r="Z222" s="12" t="str">
        <x:f>VLOOKUP(A222,'Dependencies'!$A$2:$G$224,7,FALSE)</x:f>
        <x:v>OK</x:v>
      </x:c>
      <x:c r="AA222" s="12" t="str">
        <x:f>IF(COUNTIFS('Milestones'!$A$2:$A$7,G222)&lt;&gt;1,"BAD GATE",IF(M222&lt;=VLOOKUP(G222,'Milestones'!$A$2:$C$7,3,FALSE),"OK","LATE"))</x:f>
        <x:v>OK</x:v>
      </x:c>
      <x:c r="AB222" s="12" t="n">
        <x:f>IF(OR(V222="Done",V222="Cut"),"",M222-TODAY())</x:f>
        <x:v>23</x:v>
      </x:c>
    </x:row>
    <x:row r="223" ht="90" customHeight="1">
      <x:c r="A223" s="7" t="str">
        <x:v>TEST-22</x:v>
      </x:c>
      <x:c r="B223" s="7" t="str">
        <x:v>Check HUD and background workload against timing budget</x:v>
      </x:c>
      <x:c r="C223" s="9" t="str">
        <x:v>Compare headless and full HUD settings with admitted baseline models and record capture-to-apply latency.</x:v>
      </x:c>
      <x:c r="D223" s="9" t="str">
        <x:v>Final baseline config p95 &lt;=100 ms or gate explicitly blocked; disable only optional overlays if necessary.</x:v>
      </x:c>
      <x:c r="E223" s="7" t="str">
        <x:v>Testing</x:v>
      </x:c>
      <x:c r="F223" s="7" t="str">
        <x:v>E</x:v>
      </x:c>
      <x:c r="G223" s="7" t="str">
        <x:v>G3</x:v>
      </x:c>
      <x:c r="H223" s="7" t="str">
        <x:v>P0 must</x:v>
      </x:c>
      <x:c r="I223" s="7" t="str">
        <x:v>Abdullah</x:v>
      </x:c>
      <x:c r="J223" s="7" t="str">
        <x:f>IF(VLOOKUP(I223,'Team'!$A$2:$B$7,2,FALSE)="","",VLOOKUP(I223,'Team'!$A$2:$B$7,2,FALSE))</x:f>
      </x:c>
      <x:c r="K223" s="7" t="str">
        <x:v>Zhaolin</x:v>
      </x:c>
      <x:c r="L223" s="10" t="n">
        <x:v>46320</x:v>
      </x:c>
      <x:c r="M223" s="10" t="n">
        <x:v>46320</x:v>
      </x:c>
      <x:c r="N223" s="11" t="n">
        <x:v>2</x:v>
      </x:c>
      <x:c r="O223" s="7" t="str">
        <x:v>TEST-10,TEST-17</x:v>
      </x:c>
      <x:c r="P223" s="7" t="str">
        <x:v>G3-01</x:v>
      </x:c>
      <x:c r="Q223" s="7" t="str">
        <x:v>Y</x:v>
      </x:c>
      <x:c r="R223" s="7" t="str">
        <x:v>scripts/benchmark_latency.py; configs/release.yaml</x:v>
      </x:c>
      <x:c r="S223" s="7" t="str">
        <x:v>Final baseline latency profile</x:v>
      </x:c>
      <x:c r="T223" s="7" t="str">
        <x:v>Evidence and limitations</x:v>
      </x:c>
      <x:c r="U223" s="7" t="str">
        <x:v>workstream:e;priority:p0;category:testing;carla-required</x:v>
      </x:c>
      <x:c r="V223" s="7" t="str">
        <x:v>Todo</x:v>
      </x:c>
      <x:c r="W223" s="7" t="str"/>
      <x:c r="X223" s="9" t="str">
        <x:v>Internal Sydney date. Estimate includes implementation, author checks and handoff; reviewer time is separately budgeted. Same-day handoff: complete/review TEST-17 before starting this task.</x:v>
      </x:c>
      <x:c r="Y223" s="12" t="n">
        <x:f>INT((M223-'Import Guide'!$B$3)/7)+1</x:f>
        <x:v>2</x:v>
      </x:c>
      <x:c r="Z223" s="12" t="str">
        <x:f>VLOOKUP(A223,'Dependencies'!$A$2:$G$224,7,FALSE)</x:f>
        <x:v>OK</x:v>
      </x:c>
      <x:c r="AA223" s="12" t="str">
        <x:f>IF(COUNTIFS('Milestones'!$A$2:$A$7,G223)&lt;&gt;1,"BAD GATE",IF(M223&lt;=VLOOKUP(G223,'Milestones'!$A$2:$C$7,3,FALSE),"OK","LATE"))</x:f>
        <x:v>OK</x:v>
      </x:c>
      <x:c r="AB223" s="12" t="n">
        <x:f>IF(OR(V223="Done",V223="Cut"),"",M223-TODAY())</x:f>
        <x:v>17</x:v>
      </x:c>
    </x:row>
    <x:row r="224" ht="90" customHeight="1">
      <x:c r="A224" s="7" t="str">
        <x:v>PROC-04</x:v>
      </x:c>
      <x:c r="B224" s="7" t="str">
        <x:v>Record decisions on traffic lights and moving obstacles</x:v>
      </x:c>
      <x:c r="C224" s="9" t="str">
        <x:v>Document future virtual-stop-line design and moving-object needs; baseline holds lights green and obstacles stationary.</x:v>
      </x:c>
      <x:c r="D224" s="9" t="str">
        <x:v>No extra behavior silently enabled; alternatives and scope boundary are explicit for tutor and report.</x:v>
      </x:c>
      <x:c r="E224" s="7" t="str">
        <x:v>Process</x:v>
      </x:c>
      <x:c r="F224" s="7" t="str">
        <x:v>D</x:v>
      </x:c>
      <x:c r="G224" s="7" t="str">
        <x:v>G3</x:v>
      </x:c>
      <x:c r="H224" s="7" t="str">
        <x:v>P2 could</x:v>
      </x:c>
      <x:c r="I224" s="7" t="str">
        <x:v>Alan</x:v>
      </x:c>
      <x:c r="J224" s="7" t="str">
        <x:f>IF(VLOOKUP(I224,'Team'!$A$2:$B$7,2,FALSE)="","",VLOOKUP(I224,'Team'!$A$2:$B$7,2,FALSE))</x:f>
      </x:c>
      <x:c r="K224" s="7" t="str">
        <x:v>Mohammad</x:v>
      </x:c>
      <x:c r="L224" s="10" t="n">
        <x:v>46320</x:v>
      </x:c>
      <x:c r="M224" s="10" t="n">
        <x:v>46320</x:v>
      </x:c>
      <x:c r="N224" s="11" t="n">
        <x:v>2</x:v>
      </x:c>
      <x:c r="O224" s="7" t="str">
        <x:v>G1-01,TEST-04</x:v>
      </x:c>
      <x:c r="P224" s="7" t="str"/>
      <x:c r="Q224" s="7" t="str">
        <x:v>N</x:v>
      </x:c>
      <x:c r="R224" s="7" t="str">
        <x:v>docs/decisions.md</x:v>
      </x:c>
      <x:c r="S224" s="7" t="str">
        <x:v>Future-scope decision record</x:v>
      </x:c>
      <x:c r="T224" s="7" t="str">
        <x:v>Scope and rationale</x:v>
      </x:c>
      <x:c r="U224" s="7" t="str">
        <x:v>workstream:d;priority:p2;category:process</x:v>
      </x:c>
      <x:c r="V224" s="7" t="str">
        <x:v>Todo</x:v>
      </x:c>
      <x:c r="W224" s="7" t="str"/>
      <x:c r="X224" s="9" t="str">
        <x:v>Internal Sydney date. Estimate includes implementation, author checks and handoff; reviewer time is separately budgeted. Conditional only; start if baseline is on track. First work to cut.</x:v>
      </x:c>
      <x:c r="Y224" s="12" t="n">
        <x:f>INT((M224-'Import Guide'!$B$3)/7)+1</x:f>
        <x:v>2</x:v>
      </x:c>
      <x:c r="Z224" s="12" t="str">
        <x:f>VLOOKUP(A224,'Dependencies'!$A$2:$G$224,7,FALSE)</x:f>
        <x:v>OK</x:v>
      </x:c>
      <x:c r="AA224" s="12" t="str">
        <x:f>IF(COUNTIFS('Milestones'!$A$2:$A$7,G224)&lt;&gt;1,"BAD GATE",IF(M224&lt;=VLOOKUP(G224,'Milestones'!$A$2:$C$7,3,FALSE),"OK","LATE"))</x:f>
        <x:v>OK</x:v>
      </x:c>
      <x:c r="AB224" s="12" t="n">
        <x:f>IF(OR(V224="Done",V224="Cut"),"",M224-TODAY())</x:f>
        <x:v>17</x:v>
      </x:c>
    </x:row>
  </x:sheetData>
  <x:conditionalFormatting sqref="A2:AB224">
    <x:cfRule type="expression" dxfId="0" priority="1">
      <x:formula>AND($M2&lt;TODAY(),$V2&lt;&gt;"Done",$V2&lt;&gt;"Cut")</x:formula>
    </x:cfRule>
  </x:conditionalFormatting>
  <x:conditionalFormatting sqref="Z2:AA224">
    <x:cfRule type="expression" dxfId="1" priority="2">
      <x:formula>AND(Z2&lt;&gt;"OK",Z2&lt;&gt;"")</x:formula>
    </x:cfRule>
  </x:conditionalFormatting>
  <x:conditionalFormatting sqref="V2:V224">
    <x:cfRule type="expression" dxfId="2" priority="3">
      <x:formula>$V2="In Progress"</x:formula>
    </x:cfRule>
  </x:conditionalFormatting>
  <x:dataValidations count="6">
    <x:dataValidation type="list" sqref="V2:V224">
      <x:formula1>"Todo,In Progress,In Review,Done,Cut"</x:formula1>
    </x:dataValidation>
    <x:dataValidation type="list" sqref="H2:H224">
      <x:formula1>"P0 must,P1 should,P2 could"</x:formula1>
    </x:dataValidation>
    <x:dataValidation type="list" sqref="E2:E224">
      <x:formula1>"Baseline,A1 Revamp,Extension,Testing,Docs &amp; Report,Demo,Process,Individual"</x:formula1>
    </x:dataValidation>
    <x:dataValidation type="list" sqref="I2:I224">
      <x:formula1>"Mohammad,Abdullah,Ricky,Alan,Zhaolin,Saviour"</x:formula1>
    </x:dataValidation>
    <x:dataValidation type="list" sqref="G2:G224">
      <x:formula1>"G0,G1,G2,G3,G4,G5"</x:formula1>
    </x:dataValidation>
    <x:dataValidation type="list" sqref="Q2:Q224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d87d5557724a9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5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8" customHeight="1">
      <x:c r="A2" s="16" t="str">
        <x:v>Weekly hours and available capacity</x:v>
      </x:c>
      <x:c r="B2" s="2"/>
      <x:c r="C2" s="2"/>
      <x:c r="D2" s="2"/>
      <x:c r="E2" s="2"/>
      <x:c r="F2" s="2"/>
      <x:c r="G2" s="2"/>
      <x:c r="H2" s="2"/>
      <x:c r="I2" s="2"/>
    </x:row>
    <x:row r="3" ht="28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32" customHeight="1">
      <x:c r="A4" s="6" t="str">
        <x:v>Owner</x:v>
      </x:c>
      <x:c r="B4" s="6" t="str">
        <x:v>12–18 Oct</x:v>
      </x:c>
      <x:c r="C4" s="6" t="str">
        <x:v>19–25 Oct</x:v>
      </x:c>
      <x:c r="D4" s="6" t="str">
        <x:v>26 Oct–1 Nov</x:v>
      </x:c>
      <x:c r="E4" s="6" t="str">
        <x:v>Total hours</x:v>
      </x:c>
      <x:c r="F4" s="6" t="str">
        <x:v>Capacity / week</x:v>
      </x:c>
      <x:c r="G4" s="6" t="str">
        <x:v>W1 remaining</x:v>
      </x:c>
      <x:c r="H4" s="6" t="str">
        <x:v>W2 remaining</x:v>
      </x:c>
      <x:c r="I4" s="6" t="str">
        <x:v>W3 remaining</x:v>
      </x:c>
    </x:row>
    <x:row r="5" ht="28" customHeight="1">
      <x:c r="A5" s="2" t="str">
        <x:v>Mohammad</x:v>
      </x:c>
      <x:c r="B5" s="17" t="n">
        <x:f>SUMIFS('Tasks'!$N$2:$N$224,'Tasks'!$I$2:$I$224,$A5,'Tasks'!$M$2:$M$224,"&gt;="&amp;('Import Guide'!$B$3+0),'Tasks'!$M$2:$M$224,"&lt;"&amp;('Import Guide'!$B$3+7),'Tasks'!$V$2:$V$224,"&lt;&gt;Cut")</x:f>
        <x:v>25.5</x:v>
      </x:c>
      <x:c r="C5" s="17" t="n">
        <x:f>SUMIFS('Tasks'!$N$2:$N$224,'Tasks'!$I$2:$I$224,$A5,'Tasks'!$M$2:$M$224,"&gt;="&amp;('Import Guide'!$B$3+7),'Tasks'!$M$2:$M$224,"&lt;"&amp;('Import Guide'!$B$3+14),'Tasks'!$V$2:$V$224,"&lt;&gt;Cut")</x:f>
        <x:v>23</x:v>
      </x:c>
      <x:c r="D5" s="17" t="n">
        <x:f>SUMIFS('Tasks'!$N$2:$N$224,'Tasks'!$I$2:$I$224,$A5,'Tasks'!$M$2:$M$224,"&gt;="&amp;('Import Guide'!$B$3+14),'Tasks'!$M$2:$M$224,"&lt;"&amp;('Import Guide'!$B$3+21),'Tasks'!$V$2:$V$224,"&lt;&gt;Cut")</x:f>
        <x:v>21</x:v>
      </x:c>
      <x:c r="E5" s="17" t="n">
        <x:f>SUM(B5:D5)</x:f>
        <x:v>69.5</x:v>
      </x:c>
      <x:c r="F5" s="17" t="n">
        <x:f>VLOOKUP(A5,'Team'!$A$2:$I$7,9,FALSE)</x:f>
        <x:v>32</x:v>
      </x:c>
      <x:c r="G5" s="17" t="n">
        <x:f>F5-B5</x:f>
        <x:v>6.5</x:v>
      </x:c>
      <x:c r="H5" s="17" t="n">
        <x:f>F5-C5</x:f>
        <x:v>9</x:v>
      </x:c>
      <x:c r="I5" s="17" t="n">
        <x:f>F5-D5</x:f>
        <x:v>11</x:v>
      </x:c>
    </x:row>
    <x:row r="6" ht="28" customHeight="1">
      <x:c r="A6" s="2" t="str">
        <x:v>Abdullah</x:v>
      </x:c>
      <x:c r="B6" s="17" t="n">
        <x:f>SUMIFS('Tasks'!$N$2:$N$224,'Tasks'!$I$2:$I$224,$A6,'Tasks'!$M$2:$M$224,"&gt;="&amp;('Import Guide'!$B$3+0),'Tasks'!$M$2:$M$224,"&lt;"&amp;('Import Guide'!$B$3+7),'Tasks'!$V$2:$V$224,"&lt;&gt;Cut")</x:f>
        <x:v>26</x:v>
      </x:c>
      <x:c r="C6" s="17" t="n">
        <x:f>SUMIFS('Tasks'!$N$2:$N$224,'Tasks'!$I$2:$I$224,$A6,'Tasks'!$M$2:$M$224,"&gt;="&amp;('Import Guide'!$B$3+7),'Tasks'!$M$2:$M$224,"&lt;"&amp;('Import Guide'!$B$3+14),'Tasks'!$V$2:$V$224,"&lt;&gt;Cut")</x:f>
        <x:v>22.5</x:v>
      </x:c>
      <x:c r="D6" s="17" t="n">
        <x:f>SUMIFS('Tasks'!$N$2:$N$224,'Tasks'!$I$2:$I$224,$A6,'Tasks'!$M$2:$M$224,"&gt;="&amp;('Import Guide'!$B$3+14),'Tasks'!$M$2:$M$224,"&lt;"&amp;('Import Guide'!$B$3+21),'Tasks'!$V$2:$V$224,"&lt;&gt;Cut")</x:f>
        <x:v>19.5</x:v>
      </x:c>
      <x:c r="E6" s="17" t="n">
        <x:f>SUM(B6:D6)</x:f>
        <x:v>68</x:v>
      </x:c>
      <x:c r="F6" s="17" t="n">
        <x:f>VLOOKUP(A6,'Team'!$A$2:$I$7,9,FALSE)</x:f>
        <x:v>32</x:v>
      </x:c>
      <x:c r="G6" s="17" t="n">
        <x:f>F6-B6</x:f>
        <x:v>6</x:v>
      </x:c>
      <x:c r="H6" s="17" t="n">
        <x:f>F6-C6</x:f>
        <x:v>9.5</x:v>
      </x:c>
      <x:c r="I6" s="17" t="n">
        <x:f>F6-D6</x:f>
        <x:v>12.5</x:v>
      </x:c>
    </x:row>
    <x:row r="7" ht="28" customHeight="1">
      <x:c r="A7" s="2" t="str">
        <x:v>Ricky</x:v>
      </x:c>
      <x:c r="B7" s="17" t="n">
        <x:f>SUMIFS('Tasks'!$N$2:$N$224,'Tasks'!$I$2:$I$224,$A7,'Tasks'!$M$2:$M$224,"&gt;="&amp;('Import Guide'!$B$3+0),'Tasks'!$M$2:$M$224,"&lt;"&amp;('Import Guide'!$B$3+7),'Tasks'!$V$2:$V$224,"&lt;&gt;Cut")</x:f>
        <x:v>27.5</x:v>
      </x:c>
      <x:c r="C7" s="17" t="n">
        <x:f>SUMIFS('Tasks'!$N$2:$N$224,'Tasks'!$I$2:$I$224,$A7,'Tasks'!$M$2:$M$224,"&gt;="&amp;('Import Guide'!$B$3+7),'Tasks'!$M$2:$M$224,"&lt;"&amp;('Import Guide'!$B$3+14),'Tasks'!$V$2:$V$224,"&lt;&gt;Cut")</x:f>
        <x:v>22.5</x:v>
      </x:c>
      <x:c r="D7" s="17" t="n">
        <x:f>SUMIFS('Tasks'!$N$2:$N$224,'Tasks'!$I$2:$I$224,$A7,'Tasks'!$M$2:$M$224,"&gt;="&amp;('Import Guide'!$B$3+14),'Tasks'!$M$2:$M$224,"&lt;"&amp;('Import Guide'!$B$3+21),'Tasks'!$V$2:$V$224,"&lt;&gt;Cut")</x:f>
        <x:v>20.5</x:v>
      </x:c>
      <x:c r="E7" s="17" t="n">
        <x:f>SUM(B7:D7)</x:f>
        <x:v>70.5</x:v>
      </x:c>
      <x:c r="F7" s="17" t="n">
        <x:f>VLOOKUP(A7,'Team'!$A$2:$I$7,9,FALSE)</x:f>
        <x:v>32</x:v>
      </x:c>
      <x:c r="G7" s="17" t="n">
        <x:f>F7-B7</x:f>
        <x:v>4.5</x:v>
      </x:c>
      <x:c r="H7" s="17" t="n">
        <x:f>F7-C7</x:f>
        <x:v>9.5</x:v>
      </x:c>
      <x:c r="I7" s="17" t="n">
        <x:f>F7-D7</x:f>
        <x:v>11.5</x:v>
      </x:c>
    </x:row>
    <x:row r="8" ht="28" customHeight="1">
      <x:c r="A8" s="2" t="str">
        <x:v>Alan</x:v>
      </x:c>
      <x:c r="B8" s="17" t="n">
        <x:f>SUMIFS('Tasks'!$N$2:$N$224,'Tasks'!$I$2:$I$224,$A8,'Tasks'!$M$2:$M$224,"&gt;="&amp;('Import Guide'!$B$3+0),'Tasks'!$M$2:$M$224,"&lt;"&amp;('Import Guide'!$B$3+7),'Tasks'!$V$2:$V$224,"&lt;&gt;Cut")</x:f>
        <x:v>25</x:v>
      </x:c>
      <x:c r="C8" s="17" t="n">
        <x:f>SUMIFS('Tasks'!$N$2:$N$224,'Tasks'!$I$2:$I$224,$A8,'Tasks'!$M$2:$M$224,"&gt;="&amp;('Import Guide'!$B$3+7),'Tasks'!$M$2:$M$224,"&lt;"&amp;('Import Guide'!$B$3+14),'Tasks'!$V$2:$V$224,"&lt;&gt;Cut")</x:f>
        <x:v>22</x:v>
      </x:c>
      <x:c r="D8" s="17" t="n">
        <x:f>SUMIFS('Tasks'!$N$2:$N$224,'Tasks'!$I$2:$I$224,$A8,'Tasks'!$M$2:$M$224,"&gt;="&amp;('Import Guide'!$B$3+14),'Tasks'!$M$2:$M$224,"&lt;"&amp;('Import Guide'!$B$3+21),'Tasks'!$V$2:$V$224,"&lt;&gt;Cut")</x:f>
        <x:v>22</x:v>
      </x:c>
      <x:c r="E8" s="17" t="n">
        <x:f>SUM(B8:D8)</x:f>
        <x:v>69</x:v>
      </x:c>
      <x:c r="F8" s="17" t="n">
        <x:f>VLOOKUP(A8,'Team'!$A$2:$I$7,9,FALSE)</x:f>
        <x:v>32</x:v>
      </x:c>
      <x:c r="G8" s="17" t="n">
        <x:f>F8-B8</x:f>
        <x:v>7</x:v>
      </x:c>
      <x:c r="H8" s="17" t="n">
        <x:f>F8-C8</x:f>
        <x:v>10</x:v>
      </x:c>
      <x:c r="I8" s="17" t="n">
        <x:f>F8-D8</x:f>
        <x:v>10</x:v>
      </x:c>
    </x:row>
    <x:row r="9" ht="28" customHeight="1">
      <x:c r="A9" s="2" t="str">
        <x:v>Zhaolin</x:v>
      </x:c>
      <x:c r="B9" s="17" t="n">
        <x:f>SUMIFS('Tasks'!$N$2:$N$224,'Tasks'!$I$2:$I$224,$A9,'Tasks'!$M$2:$M$224,"&gt;="&amp;('Import Guide'!$B$3+0),'Tasks'!$M$2:$M$224,"&lt;"&amp;('Import Guide'!$B$3+7),'Tasks'!$V$2:$V$224,"&lt;&gt;Cut")</x:f>
        <x:v>28.5</x:v>
      </x:c>
      <x:c r="C9" s="17" t="n">
        <x:f>SUMIFS('Tasks'!$N$2:$N$224,'Tasks'!$I$2:$I$224,$A9,'Tasks'!$M$2:$M$224,"&gt;="&amp;('Import Guide'!$B$3+7),'Tasks'!$M$2:$M$224,"&lt;"&amp;('Import Guide'!$B$3+14),'Tasks'!$V$2:$V$224,"&lt;&gt;Cut")</x:f>
        <x:v>22.5</x:v>
      </x:c>
      <x:c r="D9" s="17" t="n">
        <x:f>SUMIFS('Tasks'!$N$2:$N$224,'Tasks'!$I$2:$I$224,$A9,'Tasks'!$M$2:$M$224,"&gt;="&amp;('Import Guide'!$B$3+14),'Tasks'!$M$2:$M$224,"&lt;"&amp;('Import Guide'!$B$3+21),'Tasks'!$V$2:$V$224,"&lt;&gt;Cut")</x:f>
        <x:v>23</x:v>
      </x:c>
      <x:c r="E9" s="17" t="n">
        <x:f>SUM(B9:D9)</x:f>
        <x:v>74</x:v>
      </x:c>
      <x:c r="F9" s="17" t="n">
        <x:f>VLOOKUP(A9,'Team'!$A$2:$I$7,9,FALSE)</x:f>
        <x:v>32</x:v>
      </x:c>
      <x:c r="G9" s="17" t="n">
        <x:f>F9-B9</x:f>
        <x:v>3.5</x:v>
      </x:c>
      <x:c r="H9" s="17" t="n">
        <x:f>F9-C9</x:f>
        <x:v>9.5</x:v>
      </x:c>
      <x:c r="I9" s="17" t="n">
        <x:f>F9-D9</x:f>
        <x:v>9</x:v>
      </x:c>
    </x:row>
    <x:row r="10" ht="28" customHeight="1">
      <x:c r="A10" s="2" t="str">
        <x:v>Saviour</x:v>
      </x:c>
      <x:c r="B10" s="17" t="n">
        <x:f>SUMIFS('Tasks'!$N$2:$N$224,'Tasks'!$I$2:$I$224,$A10,'Tasks'!$M$2:$M$224,"&gt;="&amp;('Import Guide'!$B$3+0),'Tasks'!$M$2:$M$224,"&lt;"&amp;('Import Guide'!$B$3+7),'Tasks'!$V$2:$V$224,"&lt;&gt;Cut")</x:f>
        <x:v>27</x:v>
      </x:c>
      <x:c r="C10" s="17" t="n">
        <x:f>SUMIFS('Tasks'!$N$2:$N$224,'Tasks'!$I$2:$I$224,$A10,'Tasks'!$M$2:$M$224,"&gt;="&amp;('Import Guide'!$B$3+7),'Tasks'!$M$2:$M$224,"&lt;"&amp;('Import Guide'!$B$3+14),'Tasks'!$V$2:$V$224,"&lt;&gt;Cut")</x:f>
        <x:v>23</x:v>
      </x:c>
      <x:c r="D10" s="17" t="n">
        <x:f>SUMIFS('Tasks'!$N$2:$N$224,'Tasks'!$I$2:$I$224,$A10,'Tasks'!$M$2:$M$224,"&gt;="&amp;('Import Guide'!$B$3+14),'Tasks'!$M$2:$M$224,"&lt;"&amp;('Import Guide'!$B$3+21),'Tasks'!$V$2:$V$224,"&lt;&gt;Cut")</x:f>
        <x:v>19.5</x:v>
      </x:c>
      <x:c r="E10" s="17" t="n">
        <x:f>SUM(B10:D10)</x:f>
        <x:v>69.5</x:v>
      </x:c>
      <x:c r="F10" s="17" t="n">
        <x:f>VLOOKUP(A10,'Team'!$A$2:$I$7,9,FALSE)</x:f>
        <x:v>32</x:v>
      </x:c>
      <x:c r="G10" s="17" t="n">
        <x:f>F10-B10</x:f>
        <x:v>5</x:v>
      </x:c>
      <x:c r="H10" s="17" t="n">
        <x:f>F10-C10</x:f>
        <x:v>9</x:v>
      </x:c>
      <x:c r="I10" s="17" t="n">
        <x:f>F10-D10</x:f>
        <x:v>12.5</x:v>
      </x:c>
    </x:row>
    <x:row r="11" ht="30" customHeight="1">
      <x:c r="A11" s="20" t="str">
        <x:v>Team total</x:v>
      </x:c>
      <x:c r="B11" s="21" t="n">
        <x:f>SUM(B5:B10)</x:f>
        <x:v>159.5</x:v>
      </x:c>
      <x:c r="C11" s="21" t="n">
        <x:f>SUM(C5:C10)</x:f>
        <x:v>135.5</x:v>
      </x:c>
      <x:c r="D11" s="21" t="n">
        <x:f>SUM(D5:D10)</x:f>
        <x:v>125.5</x:v>
      </x:c>
      <x:c r="E11" s="21" t="n">
        <x:f>SUM(E5:E10)</x:f>
        <x:v>420.5</x:v>
      </x:c>
      <x:c r="F11" s="21" t="n">
        <x:f>SUM(F5:F10)</x:f>
        <x:v>192</x:v>
      </x:c>
      <x:c r="G11" s="21" t="n">
        <x:f>SUM(G5:G10)</x:f>
        <x:v>32.5</x:v>
      </x:c>
      <x:c r="H11" s="21" t="n">
        <x:f>SUM(H5:H10)</x:f>
        <x:v>56.5</x:v>
      </x:c>
      <x:c r="I11" s="21" t="n">
        <x:f>SUM(I5:I10)</x:f>
        <x:v>66.5</x:v>
      </x:c>
    </x:row>
    <x:row r="12" ht="28" customHeight="1">
      <x:c r="A12" s="2"/>
      <x:c r="B12" s="2"/>
      <x:c r="C12" s="2"/>
      <x:c r="D12" s="2"/>
      <x:c r="E12" s="2"/>
      <x:c r="F12" s="2"/>
      <x:c r="G12" s="2"/>
      <x:c r="H12" s="2"/>
      <x:c r="I12" s="2"/>
    </x:row>
    <x:row r="13" ht="28" customHeight="1">
      <x:c r="A13" s="22" t="str">
        <x:v>Assumption: 32 h per member per week; change capacity in Team.</x:v>
      </x:c>
      <x:c r="B13" s="22"/>
      <x:c r="C13" s="22"/>
      <x:c r="D13" s="22"/>
      <x:c r="E13" s="22"/>
      <x:c r="F13" s="22"/>
      <x:c r="G13" s="22"/>
      <x:c r="H13" s="22"/>
      <x:c r="I13" s="22"/>
    </x:row>
    <x:row r="14" ht="28" customHeight="1">
      <x:c r="A14" s="22" t="str">
        <x:v>Hours include reviewer time, coordination, rehearsals and private readiness. Cut tasks release capacity.</x:v>
      </x:c>
      <x:c r="B14" s="22"/>
      <x:c r="C14" s="22"/>
      <x:c r="D14" s="22"/>
      <x:c r="E14" s="22"/>
      <x:c r="F14" s="22"/>
      <x:c r="G14" s="22"/>
      <x:c r="H14" s="22"/>
      <x:c r="I14" s="22"/>
    </x:row>
    <x:row r="15" ht="28" customHeight="1">
      <x:c r="A15" s="22" t="str">
        <x:v>Unallocated hours absorb fixes. 1 November is contingency. Dates do not reschedule automatically.</x:v>
      </x:c>
      <x:c r="B15" s="22"/>
      <x:c r="C15" s="22"/>
      <x:c r="D15" s="22"/>
      <x:c r="E15" s="22"/>
      <x:c r="F15" s="22"/>
      <x:c r="G15" s="22"/>
      <x:c r="H15" s="22"/>
      <x:c r="I15" s="22"/>
    </x:row>
    <x:row r="16" ht="28" customHeight="1">
      <x:c r="A16" s="22" t="str">
        <x:v>REV/COM reservations run throughout each week; other tasks total at most 6 h on a scheduled day.</x:v>
      </x:c>
      <x:c r="B16" s="22"/>
      <x:c r="C16" s="22"/>
      <x:c r="D16" s="22"/>
      <x:c r="E16" s="22"/>
      <x:c r="F16" s="22"/>
      <x:c r="G16" s="22"/>
      <x:c r="H16" s="22"/>
      <x:c r="I16" s="22"/>
    </x:row>
  </x:sheetData>
  <x:conditionalFormatting sqref="B5:D10">
    <x:cfRule type="expression" dxfId="4" priority="1">
      <x:formula>B5&gt;$F5</x:formula>
    </x:cfRule>
  </x:conditionalFormatting>
  <x:conditionalFormatting sqref="G5:I10">
    <x:cfRule type="expression" dxfId="5" priority="2">
      <x:formula>G5&lt;0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6" hidden="0" customWidth="1"/>
    <x:col min="2" max="2" width="54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6" hidden="0" customWidth="1"/>
    <x:col min="8" max="8" width="6" hidden="0" customWidth="1"/>
    <x:col min="9" max="9" width="6" hidden="0" customWidth="1"/>
    <x:col min="10" max="10" width="6" hidden="0" customWidth="1"/>
    <x:col min="11" max="11" width="6" hidden="0" customWidth="1"/>
    <x:col min="12" max="12" width="6" hidden="0" customWidth="1"/>
    <x:col min="13" max="13" width="6" hidden="0" customWidth="1"/>
    <x:col min="14" max="14" width="6" hidden="0" customWidth="1"/>
    <x:col min="15" max="15" width="6" hidden="0" customWidth="1"/>
    <x:col min="16" max="16" width="6" hidden="0" customWidth="1"/>
    <x:col min="17" max="17" width="6" hidden="0" customWidth="1"/>
    <x:col min="18" max="18" width="6" hidden="0" customWidth="1"/>
    <x:col min="19" max="19" width="6" hidden="0" customWidth="1"/>
    <x:col min="20" max="20" width="6" hidden="0" customWidth="1"/>
    <x:col min="21" max="21" width="6" hidden="0" customWidth="1"/>
    <x:col min="22" max="22" width="6" hidden="0" customWidth="1"/>
    <x:col min="23" max="23" width="6" hidden="0" customWidth="1"/>
    <x:col min="24" max="24" width="6" hidden="0" customWidth="1"/>
    <x:col min="25" max="25" width="6" hidden="0" customWidth="1"/>
    <x:col min="26" max="26" width="6" hidden="0" customWidth="1"/>
    <x:col min="27" max="27" width="6" hidden="0" customWidth="1"/>
  </x:cols>
  <x:sheetData>
    <x:row r="1" ht="32" customHeight="1">
      <x:c r="A1" s="6" t="str">
        <x:v>Task ID</x:v>
      </x:c>
      <x:c r="B1" s="6" t="str">
        <x:v>Title</x:v>
      </x:c>
      <x:c r="C1" s="6" t="str">
        <x:v>Owner</x:v>
      </x:c>
      <x:c r="D1" s="6" t="str">
        <x:v>Start</x:v>
      </x:c>
      <x:c r="E1" s="6" t="str">
        <x:v>Due</x:v>
      </x:c>
      <x:c r="F1" s="6" t="str">
        <x:v>Status</x:v>
      </x:c>
      <x:c r="G1" s="23" t="n">
        <x:v>46307</x:v>
      </x:c>
      <x:c r="H1" s="23" t="n">
        <x:v>46308</x:v>
      </x:c>
      <x:c r="I1" s="23" t="n">
        <x:v>46309</x:v>
      </x:c>
      <x:c r="J1" s="23" t="n">
        <x:v>46310</x:v>
      </x:c>
      <x:c r="K1" s="23" t="n">
        <x:v>46311</x:v>
      </x:c>
      <x:c r="L1" s="24" t="n">
        <x:v>46312</x:v>
      </x:c>
      <x:c r="M1" s="24" t="n">
        <x:v>46313</x:v>
      </x:c>
      <x:c r="N1" s="23" t="n">
        <x:v>46314</x:v>
      </x:c>
      <x:c r="O1" s="23" t="n">
        <x:v>46315</x:v>
      </x:c>
      <x:c r="P1" s="23" t="n">
        <x:v>46316</x:v>
      </x:c>
      <x:c r="Q1" s="23" t="n">
        <x:v>46317</x:v>
      </x:c>
      <x:c r="R1" s="23" t="n">
        <x:v>46318</x:v>
      </x:c>
      <x:c r="S1" s="24" t="n">
        <x:v>46319</x:v>
      </x:c>
      <x:c r="T1" s="24" t="n">
        <x:v>46320</x:v>
      </x:c>
      <x:c r="U1" s="23" t="n">
        <x:v>46321</x:v>
      </x:c>
      <x:c r="V1" s="23" t="n">
        <x:v>46322</x:v>
      </x:c>
      <x:c r="W1" s="23" t="n">
        <x:v>46323</x:v>
      </x:c>
      <x:c r="X1" s="23" t="n">
        <x:v>46324</x:v>
      </x:c>
      <x:c r="Y1" s="23" t="n">
        <x:v>46325</x:v>
      </x:c>
      <x:c r="Z1" s="24" t="n">
        <x:v>46326</x:v>
      </x:c>
      <x:c r="AA1" s="24" t="n">
        <x:v>46327</x:v>
      </x:c>
    </x:row>
    <x:row r="2" ht="34" customHeight="1">
      <x:c r="A2" s="2" t="str">
        <x:v>PROC-01</x:v>
      </x:c>
      <x:c r="B2" s="7" t="str">
        <x:f>VLOOKUP(A2,'Tasks'!$A$2:$X$224,2,FALSE)</x:f>
        <x:v>Create A2 repository and preserve the A1 starting point</x:v>
      </x:c>
      <x:c r="C2" s="2" t="str">
        <x:f>VLOOKUP(A2,'Tasks'!$A$2:$X$224,9,FALSE)</x:f>
        <x:v>Saviour</x:v>
      </x:c>
      <x:c r="D2" s="13" t="n">
        <x:f>VLOOKUP(A2,'Tasks'!$A$2:$X$224,12,FALSE)</x:f>
        <x:v>46307</x:v>
      </x:c>
      <x:c r="E2" s="13" t="n">
        <x:f>VLOOKUP(A2,'Tasks'!$A$2:$X$224,13,FALSE)</x:f>
        <x:v>46307</x:v>
      </x:c>
      <x:c r="F2" s="2" t="str">
        <x:f>VLOOKUP(A2,'Tasks'!$A$2:$X$224,22,FALSE)</x:f>
        <x:v>Todo</x:v>
      </x:c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</x:row>
    <x:row r="3" ht="34" customHeight="1">
      <x:c r="A3" s="2" t="str">
        <x:v>PROC-02</x:v>
      </x:c>
      <x:c r="B3" s="7" t="str">
        <x:f>VLOOKUP(A3,'Tasks'!$A$2:$X$224,2,FALSE)</x:f>
        <x:v>Inventory four CARLA machines and choose demo candidates</x:v>
      </x:c>
      <x:c r="C3" s="2" t="str">
        <x:f>VLOOKUP(A3,'Tasks'!$A$2:$X$224,9,FALSE)</x:f>
        <x:v>Abdullah</x:v>
      </x:c>
      <x:c r="D3" s="13" t="n">
        <x:f>VLOOKUP(A3,'Tasks'!$A$2:$X$224,12,FALSE)</x:f>
        <x:v>46307</x:v>
      </x:c>
      <x:c r="E3" s="13" t="n">
        <x:f>VLOOKUP(A3,'Tasks'!$A$2:$X$224,13,FALSE)</x:f>
        <x:v>46307</x:v>
      </x:c>
      <x:c r="F3" s="2" t="str">
        <x:f>VLOOKUP(A3,'Tasks'!$A$2:$X$224,22,FALSE)</x:f>
        <x:v>Todo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</x:row>
    <x:row r="4" ht="34" customHeight="1">
      <x:c r="A4" s="2" t="str">
        <x:v>PROC-03</x:v>
      </x:c>
      <x:c r="B4" s="7" t="str">
        <x:f>VLOOKUP(A4,'Tasks'!$A$2:$X$224,2,FALSE)</x:f>
        <x:v>Request tutor confirmation of scope and dates</x:v>
      </x:c>
      <x:c r="C4" s="2" t="str">
        <x:f>VLOOKUP(A4,'Tasks'!$A$2:$X$224,9,FALSE)</x:f>
        <x:v>Alan</x:v>
      </x:c>
      <x:c r="D4" s="13" t="n">
        <x:f>VLOOKUP(A4,'Tasks'!$A$2:$X$224,12,FALSE)</x:f>
        <x:v>46308</x:v>
      </x:c>
      <x:c r="E4" s="13" t="n">
        <x:f>VLOOKUP(A4,'Tasks'!$A$2:$X$224,13,FALSE)</x:f>
        <x:v>46308</x:v>
      </x:c>
      <x:c r="F4" s="2" t="str">
        <x:f>VLOOKUP(A4,'Tasks'!$A$2:$X$224,22,FALSE)</x:f>
        <x:v>Todo</x:v>
      </x:c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</x:row>
    <x:row r="5" ht="34" customHeight="1">
      <x:c r="A5" s="2" t="str">
        <x:v>RV-01</x:v>
      </x:c>
      <x:c r="B5" s="7" t="str">
        <x:f>VLOOKUP(A5,'Tasks'!$A$2:$X$224,2,FALSE)</x:f>
        <x:v>Recover real segmentation weights and record provenance</x:v>
      </x:c>
      <x:c r="C5" s="2" t="str">
        <x:f>VLOOKUP(A5,'Tasks'!$A$2:$X$224,9,FALSE)</x:f>
        <x:v>Mohammad</x:v>
      </x:c>
      <x:c r="D5" s="13" t="n">
        <x:f>VLOOKUP(A5,'Tasks'!$A$2:$X$224,12,FALSE)</x:f>
        <x:v>46307</x:v>
      </x:c>
      <x:c r="E5" s="13" t="n">
        <x:f>VLOOKUP(A5,'Tasks'!$A$2:$X$224,13,FALSE)</x:f>
        <x:v>46307</x:v>
      </x:c>
      <x:c r="F5" s="2" t="str">
        <x:f>VLOOKUP(A5,'Tasks'!$A$2:$X$224,22,FALSE)</x:f>
        <x:v>Todo</x:v>
      </x:c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</x:row>
    <x:row r="6" ht="34" customHeight="1">
      <x:c r="A6" s="2" t="str">
        <x:v>RV-02</x:v>
      </x:c>
      <x:c r="B6" s="7" t="str">
        <x:f>VLOOKUP(A6,'Tasks'!$A$2:$X$224,2,FALSE)</x:f>
        <x:v>Recover lane weights and compare duplicate lane code</x:v>
      </x:c>
      <x:c r="C6" s="2" t="str">
        <x:f>VLOOKUP(A6,'Tasks'!$A$2:$X$224,9,FALSE)</x:f>
        <x:v>Abdullah</x:v>
      </x:c>
      <x:c r="D6" s="13" t="n">
        <x:f>VLOOKUP(A6,'Tasks'!$A$2:$X$224,12,FALSE)</x:f>
        <x:v>46307</x:v>
      </x:c>
      <x:c r="E6" s="13" t="n">
        <x:f>VLOOKUP(A6,'Tasks'!$A$2:$X$224,13,FALSE)</x:f>
        <x:v>46307</x:v>
      </x:c>
      <x:c r="F6" s="2" t="str">
        <x:f>VLOOKUP(A6,'Tasks'!$A$2:$X$224,22,FALSE)</x:f>
        <x:v>Todo</x:v>
      </x:c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</x:row>
    <x:row r="7" ht="34" customHeight="1">
      <x:c r="A7" s="2" t="str">
        <x:v>RV-03</x:v>
      </x:c>
      <x:c r="B7" s="7" t="str">
        <x:f>VLOOKUP(A7,'Tasks'!$A$2:$X$224,2,FALSE)</x:f>
        <x:v>Consolidate lane modules with compatibility imports</x:v>
      </x:c>
      <x:c r="C7" s="2" t="str">
        <x:f>VLOOKUP(A7,'Tasks'!$A$2:$X$224,9,FALSE)</x:f>
        <x:v>Abdullah</x:v>
      </x:c>
      <x:c r="D7" s="13" t="n">
        <x:f>VLOOKUP(A7,'Tasks'!$A$2:$X$224,12,FALSE)</x:f>
        <x:v>46308</x:v>
      </x:c>
      <x:c r="E7" s="13" t="n">
        <x:f>VLOOKUP(A7,'Tasks'!$A$2:$X$224,13,FALSE)</x:f>
        <x:v>46308</x:v>
      </x:c>
      <x:c r="F7" s="2" t="str">
        <x:f>VLOOKUP(A7,'Tasks'!$A$2:$X$224,22,FALSE)</x:f>
        <x:v>Todo</x:v>
      </x:c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</x:row>
    <x:row r="8" ht="34" customHeight="1">
      <x:c r="A8" s="2" t="str">
        <x:v>BL-F-01</x:v>
      </x:c>
      <x:c r="B8" s="7" t="str">
        <x:f>VLOOKUP(A8,'Tasks'!$A$2:$X$224,2,FALSE)</x:f>
        <x:v>Specify simulator boundary and data contracts</x:v>
      </x:c>
      <x:c r="C8" s="2" t="str">
        <x:f>VLOOKUP(A8,'Tasks'!$A$2:$X$224,9,FALSE)</x:f>
        <x:v>Saviour</x:v>
      </x:c>
      <x:c r="D8" s="13" t="n">
        <x:f>VLOOKUP(A8,'Tasks'!$A$2:$X$224,12,FALSE)</x:f>
        <x:v>46307</x:v>
      </x:c>
      <x:c r="E8" s="13" t="n">
        <x:f>VLOOKUP(A8,'Tasks'!$A$2:$X$224,13,FALSE)</x:f>
        <x:v>46307</x:v>
      </x:c>
      <x:c r="F8" s="2" t="str">
        <x:f>VLOOKUP(A8,'Tasks'!$A$2:$X$224,22,FALSE)</x:f>
        <x:v>Todo</x:v>
      </x:c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</x:row>
    <x:row r="9" ht="34" customHeight="1">
      <x:c r="A9" s="2" t="str">
        <x:v>BL-C-01</x:v>
      </x:c>
      <x:c r="B9" s="7" t="str">
        <x:f>VLOOKUP(A9,'Tasks'!$A$2:$X$224,2,FALSE)</x:f>
        <x:v>Specify detector and obstacle contracts</x:v>
      </x:c>
      <x:c r="C9" s="2" t="str">
        <x:f>VLOOKUP(A9,'Tasks'!$A$2:$X$224,9,FALSE)</x:f>
        <x:v>Ricky</x:v>
      </x:c>
      <x:c r="D9" s="13" t="n">
        <x:f>VLOOKUP(A9,'Tasks'!$A$2:$X$224,12,FALSE)</x:f>
        <x:v>46307</x:v>
      </x:c>
      <x:c r="E9" s="13" t="n">
        <x:f>VLOOKUP(A9,'Tasks'!$A$2:$X$224,13,FALSE)</x:f>
        <x:v>46307</x:v>
      </x:c>
      <x:c r="F9" s="2" t="str">
        <x:f>VLOOKUP(A9,'Tasks'!$A$2:$X$224,22,FALSE)</x:f>
        <x:v>Todo</x:v>
      </x:c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  <x:c r="AA9" s="2"/>
    </x:row>
    <x:row r="10" ht="34" customHeight="1">
      <x:c r="A10" s="2" t="str">
        <x:v>BL-D-01</x:v>
      </x:c>
      <x:c r="B10" s="7" t="str">
        <x:f>VLOOKUP(A10,'Tasks'!$A$2:$X$224,2,FALSE)</x:f>
        <x:v>Specify RGB-D association and acceptance definitions</x:v>
      </x:c>
      <x:c r="C10" s="2" t="str">
        <x:f>VLOOKUP(A10,'Tasks'!$A$2:$X$224,9,FALSE)</x:f>
        <x:v>Alan</x:v>
      </x:c>
      <x:c r="D10" s="13" t="n">
        <x:f>VLOOKUP(A10,'Tasks'!$A$2:$X$224,12,FALSE)</x:f>
        <x:v>46307</x:v>
      </x:c>
      <x:c r="E10" s="13" t="n">
        <x:f>VLOOKUP(A10,'Tasks'!$A$2:$X$224,13,FALSE)</x:f>
        <x:v>46307</x:v>
      </x:c>
      <x:c r="F10" s="2" t="str">
        <x:f>VLOOKUP(A10,'Tasks'!$A$2:$X$224,22,FALSE)</x:f>
        <x:v>Todo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  <x:c r="AA10" s="2"/>
    </x:row>
    <x:row r="11" ht="34" customHeight="1">
      <x:c r="A11" s="2" t="str">
        <x:v>BL-A-01</x:v>
      </x:c>
      <x:c r="B11" s="7" t="str">
        <x:f>VLOOKUP(A11,'Tasks'!$A$2:$X$224,2,FALSE)</x:f>
        <x:v>Audit forward controller contracts and design mission</x:v>
      </x:c>
      <x:c r="C11" s="2" t="str">
        <x:f>VLOOKUP(A11,'Tasks'!$A$2:$X$224,9,FALSE)</x:f>
        <x:v>Zhaolin</x:v>
      </x:c>
      <x:c r="D11" s="13" t="n">
        <x:f>VLOOKUP(A11,'Tasks'!$A$2:$X$224,12,FALSE)</x:f>
        <x:v>46307</x:v>
      </x:c>
      <x:c r="E11" s="13" t="n">
        <x:f>VLOOKUP(A11,'Tasks'!$A$2:$X$224,13,FALSE)</x:f>
        <x:v>46307</x:v>
      </x:c>
      <x:c r="F11" s="2" t="str">
        <x:f>VLOOKUP(A11,'Tasks'!$A$2:$X$224,22,FALSE)</x:f>
        <x:v>Todo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  <x:c r="AA11" s="2"/>
    </x:row>
    <x:row r="12" ht="34" customHeight="1">
      <x:c r="A12" s="2" t="str">
        <x:v>BL-E-01</x:v>
      </x:c>
      <x:c r="B12" s="7" t="str">
        <x:f>VLOOKUP(A12,'Tasks'!$A$2:$X$224,2,FALSE)</x:f>
        <x:v>Implement fixed-vehicle geometry and actuator adapter</x:v>
      </x:c>
      <x:c r="C12" s="2" t="str">
        <x:f>VLOOKUP(A12,'Tasks'!$A$2:$X$224,9,FALSE)</x:f>
        <x:v>Abdullah</x:v>
      </x:c>
      <x:c r="D12" s="13" t="n">
        <x:f>VLOOKUP(A12,'Tasks'!$A$2:$X$224,12,FALSE)</x:f>
        <x:v>46308</x:v>
      </x:c>
      <x:c r="E12" s="13" t="n">
        <x:f>VLOOKUP(A12,'Tasks'!$A$2:$X$224,13,FALSE)</x:f>
        <x:v>46308</x:v>
      </x:c>
      <x:c r="F12" s="2" t="str">
        <x:f>VLOOKUP(A12,'Tasks'!$A$2:$X$224,22,FALSE)</x:f>
        <x:v>Todo</x:v>
      </x:c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  <x:c r="AA12" s="2"/>
    </x:row>
    <x:row r="13" ht="34" customHeight="1">
      <x:c r="A13" s="2" t="str">
        <x:v>BL-B-01</x:v>
      </x:c>
      <x:c r="B13" s="7" t="str">
        <x:f>VLOOKUP(A13,'Tasks'!$A$2:$X$224,2,FALSE)</x:f>
        <x:v>Implement synchronous world and cleanup lifecycle</x:v>
      </x:c>
      <x:c r="C13" s="2" t="str">
        <x:f>VLOOKUP(A13,'Tasks'!$A$2:$X$224,9,FALSE)</x:f>
        <x:v>Mohammad</x:v>
      </x:c>
      <x:c r="D13" s="13" t="n">
        <x:f>VLOOKUP(A13,'Tasks'!$A$2:$X$224,12,FALSE)</x:f>
        <x:v>46308</x:v>
      </x:c>
      <x:c r="E13" s="13" t="n">
        <x:f>VLOOKUP(A13,'Tasks'!$A$2:$X$224,13,FALSE)</x:f>
        <x:v>46308</x:v>
      </x:c>
      <x:c r="F13" s="2" t="str">
        <x:f>VLOOKUP(A13,'Tasks'!$A$2:$X$224,22,FALSE)</x:f>
        <x:v>Todo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  <x:c r="AA13" s="2"/>
    </x:row>
    <x:row r="14" ht="34" customHeight="1">
      <x:c r="A14" s="2" t="str">
        <x:v>BL-F-02</x:v>
      </x:c>
      <x:c r="B14" s="7" t="str">
        <x:f>VLOOKUP(A14,'Tasks'!$A$2:$X$224,2,FALSE)</x:f>
        <x:v>Build validated config and runnable stack skeleton</x:v>
      </x:c>
      <x:c r="C14" s="2" t="str">
        <x:f>VLOOKUP(A14,'Tasks'!$A$2:$X$224,9,FALSE)</x:f>
        <x:v>Saviour</x:v>
      </x:c>
      <x:c r="D14" s="13" t="n">
        <x:f>VLOOKUP(A14,'Tasks'!$A$2:$X$224,12,FALSE)</x:f>
        <x:v>46308</x:v>
      </x:c>
      <x:c r="E14" s="13" t="n">
        <x:f>VLOOKUP(A14,'Tasks'!$A$2:$X$224,13,FALSE)</x:f>
        <x:v>46308</x:v>
      </x:c>
      <x:c r="F14" s="2" t="str">
        <x:f>VLOOKUP(A14,'Tasks'!$A$2:$X$224,22,FALSE)</x:f>
        <x:v>Todo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  <x:c r="AA14" s="2"/>
    </x:row>
    <x:row r="15" ht="34" customHeight="1">
      <x:c r="A15" s="2" t="str">
        <x:v>BL-D-02</x:v>
      </x:c>
      <x:c r="B15" s="7" t="str">
        <x:f>VLOOKUP(A15,'Tasks'!$A$2:$X$224,2,FALSE)</x:f>
        <x:v>Implement camera and world transform primitives</x:v>
      </x:c>
      <x:c r="C15" s="2" t="str">
        <x:f>VLOOKUP(A15,'Tasks'!$A$2:$X$224,9,FALSE)</x:f>
        <x:v>Alan</x:v>
      </x:c>
      <x:c r="D15" s="13" t="n">
        <x:f>VLOOKUP(A15,'Tasks'!$A$2:$X$224,12,FALSE)</x:f>
        <x:v>46308</x:v>
      </x:c>
      <x:c r="E15" s="13" t="n">
        <x:f>VLOOKUP(A15,'Tasks'!$A$2:$X$224,13,FALSE)</x:f>
        <x:v>46308</x:v>
      </x:c>
      <x:c r="F15" s="2" t="str">
        <x:f>VLOOKUP(A15,'Tasks'!$A$2:$X$224,22,FALSE)</x:f>
        <x:v>Todo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  <x:c r="AA15" s="2"/>
    </x:row>
    <x:row r="16" ht="34" customHeight="1">
      <x:c r="A16" s="2" t="str">
        <x:v>BL-C-02</x:v>
      </x:c>
      <x:c r="B16" s="7" t="str">
        <x:f>VLOOKUP(A16,'Tasks'!$A$2:$X$224,2,FALSE)</x:f>
        <x:v>Add detector reset and selectable tracker configuration</x:v>
      </x:c>
      <x:c r="C16" s="2" t="str">
        <x:f>VLOOKUP(A16,'Tasks'!$A$2:$X$224,9,FALSE)</x:f>
        <x:v>Ricky</x:v>
      </x:c>
      <x:c r="D16" s="13" t="n">
        <x:f>VLOOKUP(A16,'Tasks'!$A$2:$X$224,12,FALSE)</x:f>
        <x:v>46308</x:v>
      </x:c>
      <x:c r="E16" s="13" t="n">
        <x:f>VLOOKUP(A16,'Tasks'!$A$2:$X$224,13,FALSE)</x:f>
        <x:v>46308</x:v>
      </x:c>
      <x:c r="F16" s="2" t="str">
        <x:f>VLOOKUP(A16,'Tasks'!$A$2:$X$224,22,FALSE)</x:f>
        <x:v>Todo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  <x:c r="AA16" s="2"/>
    </x:row>
    <x:row r="17" ht="34" customHeight="1">
      <x:c r="A17" s="2" t="str">
        <x:v>BL-A-02</x:v>
      </x:c>
      <x:c r="B17" s="7" t="str">
        <x:f>VLOOKUP(A17,'Tasks'!$A$2:$X$224,2,FALSE)</x:f>
        <x:v>Export lane topology as plain graph data</x:v>
      </x:c>
      <x:c r="C17" s="2" t="str">
        <x:f>VLOOKUP(A17,'Tasks'!$A$2:$X$224,9,FALSE)</x:f>
        <x:v>Zhaolin</x:v>
      </x:c>
      <x:c r="D17" s="13" t="n">
        <x:f>VLOOKUP(A17,'Tasks'!$A$2:$X$224,12,FALSE)</x:f>
        <x:v>46308</x:v>
      </x:c>
      <x:c r="E17" s="13" t="n">
        <x:f>VLOOKUP(A17,'Tasks'!$A$2:$X$224,13,FALSE)</x:f>
        <x:v>46308</x:v>
      </x:c>
      <x:c r="F17" s="2" t="str">
        <x:f>VLOOKUP(A17,'Tasks'!$A$2:$X$224,22,FALSE)</x:f>
        <x:v>Todo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  <x:c r="AA17" s="2"/>
    </x:row>
    <x:row r="18" ht="34" customHeight="1">
      <x:c r="A18" s="2" t="str">
        <x:v>TEST-01</x:v>
      </x:c>
      <x:c r="B18" s="7" t="str">
        <x:f>VLOOKUP(A18,'Tasks'!$A$2:$X$224,2,FALSE)</x:f>
        <x:v>Capture the reproducible A1 settings comparison baseline</x:v>
      </x:c>
      <x:c r="C18" s="2" t="str">
        <x:f>VLOOKUP(A18,'Tasks'!$A$2:$X$224,9,FALSE)</x:f>
        <x:v>Abdullah</x:v>
      </x:c>
      <x:c r="D18" s="13" t="n">
        <x:f>VLOOKUP(A18,'Tasks'!$A$2:$X$224,12,FALSE)</x:f>
        <x:v>46309</x:v>
      </x:c>
      <x:c r="E18" s="13" t="n">
        <x:f>VLOOKUP(A18,'Tasks'!$A$2:$X$224,13,FALSE)</x:f>
        <x:v>46309</x:v>
      </x:c>
      <x:c r="F18" s="2" t="str">
        <x:f>VLOOKUP(A18,'Tasks'!$A$2:$X$224,22,FALSE)</x:f>
        <x:v>Todo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  <x:c r="AA18" s="2"/>
    </x:row>
    <x:row r="19" ht="34" customHeight="1">
      <x:c r="A19" s="2" t="str">
        <x:v>RV-04</x:v>
      </x:c>
      <x:c r="B19" s="7" t="str">
        <x:f>VLOOKUP(A19,'Tasks'!$A$2:$X$224,2,FALSE)</x:f>
        <x:v>Unify detection boxes through compatibility adapters</x:v>
      </x:c>
      <x:c r="C19" s="2" t="str">
        <x:f>VLOOKUP(A19,'Tasks'!$A$2:$X$224,9,FALSE)</x:f>
        <x:v>Ricky</x:v>
      </x:c>
      <x:c r="D19" s="13" t="n">
        <x:f>VLOOKUP(A19,'Tasks'!$A$2:$X$224,12,FALSE)</x:f>
        <x:v>46309</x:v>
      </x:c>
      <x:c r="E19" s="13" t="n">
        <x:f>VLOOKUP(A19,'Tasks'!$A$2:$X$224,13,FALSE)</x:f>
        <x:v>46309</x:v>
      </x:c>
      <x:c r="F19" s="2" t="str">
        <x:f>VLOOKUP(A19,'Tasks'!$A$2:$X$224,22,FALSE)</x:f>
        <x:v>Todo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  <x:c r="AA19" s="2"/>
    </x:row>
    <x:row r="20" ht="34" customHeight="1">
      <x:c r="A20" s="2" t="str">
        <x:v>RV-05</x:v>
      </x:c>
      <x:c r="B20" s="7" t="str">
        <x:f>VLOOKUP(A20,'Tasks'!$A$2:$X$224,2,FALSE)</x:f>
        <x:v>Enforce the simulator boundary in CI</x:v>
      </x:c>
      <x:c r="C20" s="2" t="str">
        <x:f>VLOOKUP(A20,'Tasks'!$A$2:$X$224,9,FALSE)</x:f>
        <x:v>Saviour</x:v>
      </x:c>
      <x:c r="D20" s="13" t="n">
        <x:f>VLOOKUP(A20,'Tasks'!$A$2:$X$224,12,FALSE)</x:f>
        <x:v>46309</x:v>
      </x:c>
      <x:c r="E20" s="13" t="n">
        <x:f>VLOOKUP(A20,'Tasks'!$A$2:$X$224,13,FALSE)</x:f>
        <x:v>46309</x:v>
      </x:c>
      <x:c r="F20" s="2" t="str">
        <x:f>VLOOKUP(A20,'Tasks'!$A$2:$X$224,22,FALSE)</x:f>
        <x:v>Todo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  <x:c r="AA20" s="2"/>
    </x:row>
    <x:row r="21" ht="34" customHeight="1">
      <x:c r="A21" s="2" t="str">
        <x:v>G0-01</x:v>
      </x:c>
      <x:c r="B21" s="7" t="str">
        <x:f>VLOOKUP(A21,'Tasks'!$A$2:$X$224,2,FALSE)</x:f>
        <x:v>Review G0 contracts and assign unresolved blockers</x:v>
      </x:c>
      <x:c r="C21" s="2" t="str">
        <x:f>VLOOKUP(A21,'Tasks'!$A$2:$X$224,9,FALSE)</x:f>
        <x:v>Saviour</x:v>
      </x:c>
      <x:c r="D21" s="13" t="n">
        <x:f>VLOOKUP(A21,'Tasks'!$A$2:$X$224,12,FALSE)</x:f>
        <x:v>46309</x:v>
      </x:c>
      <x:c r="E21" s="13" t="n">
        <x:f>VLOOKUP(A21,'Tasks'!$A$2:$X$224,13,FALSE)</x:f>
        <x:v>46309</x:v>
      </x:c>
      <x:c r="F21" s="2" t="str">
        <x:f>VLOOKUP(A21,'Tasks'!$A$2:$X$224,22,FALSE)</x:f>
        <x:v>Todo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  <x:c r="AA21" s="2"/>
    </x:row>
    <x:row r="22" ht="34" customHeight="1">
      <x:c r="A22" s="2" t="str">
        <x:v>BL-B-02</x:v>
      </x:c>
      <x:c r="B22" s="7" t="str">
        <x:f>VLOOKUP(A22,'Tasks'!$A$2:$X$224,2,FALSE)</x:f>
        <x:v>Implement aligned RGB-D capture and bounded frame queues</x:v>
      </x:c>
      <x:c r="C22" s="2" t="str">
        <x:f>VLOOKUP(A22,'Tasks'!$A$2:$X$224,9,FALSE)</x:f>
        <x:v>Mohammad</x:v>
      </x:c>
      <x:c r="D22" s="13" t="n">
        <x:f>VLOOKUP(A22,'Tasks'!$A$2:$X$224,12,FALSE)</x:f>
        <x:v>46309</x:v>
      </x:c>
      <x:c r="E22" s="13" t="n">
        <x:f>VLOOKUP(A22,'Tasks'!$A$2:$X$224,13,FALSE)</x:f>
        <x:v>46309</x:v>
      </x:c>
      <x:c r="F22" s="2" t="str">
        <x:f>VLOOKUP(A22,'Tasks'!$A$2:$X$224,22,FALSE)</x:f>
        <x:v>Todo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  <x:c r="AA22" s="2"/>
    </x:row>
    <x:row r="23" ht="34" customHeight="1">
      <x:c r="A23" s="2" t="str">
        <x:v>BL-A-03</x:v>
      </x:c>
      <x:c r="B23" s="7" t="str">
        <x:f>VLOOKUP(A23,'Tasks'!$A$2:$X$224,2,FALSE)</x:f>
        <x:v>Classify junction exits and stitch continuous lane paths</x:v>
      </x:c>
      <x:c r="C23" s="2" t="str">
        <x:f>VLOOKUP(A23,'Tasks'!$A$2:$X$224,9,FALSE)</x:f>
        <x:v>Zhaolin</x:v>
      </x:c>
      <x:c r="D23" s="13" t="n">
        <x:f>VLOOKUP(A23,'Tasks'!$A$2:$X$224,12,FALSE)</x:f>
        <x:v>46309</x:v>
      </x:c>
      <x:c r="E23" s="13" t="n">
        <x:f>VLOOKUP(A23,'Tasks'!$A$2:$X$224,13,FALSE)</x:f>
        <x:v>46309</x:v>
      </x:c>
      <x:c r="F23" s="2" t="str">
        <x:f>VLOOKUP(A23,'Tasks'!$A$2:$X$224,22,FALSE)</x:f>
        <x:v>Todo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  <x:c r="AA23" s="2"/>
    </x:row>
    <x:row r="24" ht="34" customHeight="1">
      <x:c r="A24" s="2" t="str">
        <x:v>BL-D-03</x:v>
      </x:c>
      <x:c r="B24" s="7" t="str">
        <x:f>VLOOKUP(A24,'Tasks'!$A$2:$X$224,2,FALSE)</x:f>
        <x:v>Implement inner-box depth and robust validity checks</x:v>
      </x:c>
      <x:c r="C24" s="2" t="str">
        <x:f>VLOOKUP(A24,'Tasks'!$A$2:$X$224,9,FALSE)</x:f>
        <x:v>Alan</x:v>
      </x:c>
      <x:c r="D24" s="13" t="n">
        <x:f>VLOOKUP(A24,'Tasks'!$A$2:$X$224,12,FALSE)</x:f>
        <x:v>46309</x:v>
      </x:c>
      <x:c r="E24" s="13" t="n">
        <x:f>VLOOKUP(A24,'Tasks'!$A$2:$X$224,13,FALSE)</x:f>
        <x:v>46309</x:v>
      </x:c>
      <x:c r="F24" s="2" t="str">
        <x:f>VLOOKUP(A24,'Tasks'!$A$2:$X$224,22,FALSE)</x:f>
        <x:v>Todo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  <x:c r="AA24" s="2"/>
    </x:row>
    <x:row r="25" ht="34" customHeight="1">
      <x:c r="A25" s="2" t="str">
        <x:v>BL-C-03</x:v>
      </x:c>
      <x:c r="B25" s="7" t="str">
        <x:f>VLOOKUP(A25,'Tasks'!$A$2:$X$224,2,FALSE)</x:f>
        <x:v>Build offline detector fixtures and model manifest</x:v>
      </x:c>
      <x:c r="C25" s="2" t="str">
        <x:f>VLOOKUP(A25,'Tasks'!$A$2:$X$224,9,FALSE)</x:f>
        <x:v>Ricky</x:v>
      </x:c>
      <x:c r="D25" s="13" t="n">
        <x:f>VLOOKUP(A25,'Tasks'!$A$2:$X$224,12,FALSE)</x:f>
        <x:v>46309</x:v>
      </x:c>
      <x:c r="E25" s="13" t="n">
        <x:f>VLOOKUP(A25,'Tasks'!$A$2:$X$224,13,FALSE)</x:f>
        <x:v>46309</x:v>
      </x:c>
      <x:c r="F25" s="2" t="str">
        <x:f>VLOOKUP(A25,'Tasks'!$A$2:$X$224,22,FALSE)</x:f>
        <x:v>Todo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  <x:c r="AA25" s="2"/>
    </x:row>
    <x:row r="26" ht="34" customHeight="1">
      <x:c r="A26" s="2" t="str">
        <x:v>BL-F-03</x:v>
      </x:c>
      <x:c r="B26" s="7" t="str">
        <x:f>VLOOKUP(A26,'Tasks'!$A$2:$X$224,2,FALSE)</x:f>
        <x:v>Implement KinematicWorld with synthetic obstacle observations</x:v>
      </x:c>
      <x:c r="C26" s="2" t="str">
        <x:f>VLOOKUP(A26,'Tasks'!$A$2:$X$224,9,FALSE)</x:f>
        <x:v>Saviour</x:v>
      </x:c>
      <x:c r="D26" s="13" t="n">
        <x:f>VLOOKUP(A26,'Tasks'!$A$2:$X$224,12,FALSE)</x:f>
        <x:v>46310</x:v>
      </x:c>
      <x:c r="E26" s="13" t="n">
        <x:f>VLOOKUP(A26,'Tasks'!$A$2:$X$224,13,FALSE)</x:f>
        <x:v>46310</x:v>
      </x:c>
      <x:c r="F26" s="2" t="str">
        <x:f>VLOOKUP(A26,'Tasks'!$A$2:$X$224,22,FALSE)</x:f>
        <x:v>Todo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  <x:c r="AA26" s="2"/>
    </x:row>
    <x:row r="27" ht="34" customHeight="1">
      <x:c r="A27" s="2" t="str">
        <x:v>BL-E-02</x:v>
      </x:c>
      <x:c r="B27" s="7" t="str">
        <x:f>VLOOKUP(A27,'Tasks'!$A$2:$X$224,2,FALSE)</x:f>
        <x:v>Measure steering response at 2, 5 and 8 m/s</x:v>
      </x:c>
      <x:c r="C27" s="2" t="str">
        <x:f>VLOOKUP(A27,'Tasks'!$A$2:$X$224,9,FALSE)</x:f>
        <x:v>Abdullah</x:v>
      </x:c>
      <x:c r="D27" s="13" t="n">
        <x:f>VLOOKUP(A27,'Tasks'!$A$2:$X$224,12,FALSE)</x:f>
        <x:v>46310</x:v>
      </x:c>
      <x:c r="E27" s="13" t="n">
        <x:f>VLOOKUP(A27,'Tasks'!$A$2:$X$224,13,FALSE)</x:f>
        <x:v>46310</x:v>
      </x:c>
      <x:c r="F27" s="2" t="str">
        <x:f>VLOOKUP(A27,'Tasks'!$A$2:$X$224,22,FALSE)</x:f>
        <x:v>Todo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  <x:c r="AA27" s="2"/>
    </x:row>
    <x:row r="28" ht="34" customHeight="1">
      <x:c r="A28" s="2" t="str">
        <x:v>BL-A-04</x:v>
      </x:c>
      <x:c r="B28" s="7" t="str">
        <x:f>VLOOKUP(A28,'Tasks'!$A$2:$X$224,2,FALSE)</x:f>
        <x:v>Validate complete mission path in Town10HD</x:v>
      </x:c>
      <x:c r="C28" s="2" t="str">
        <x:f>VLOOKUP(A28,'Tasks'!$A$2:$X$224,9,FALSE)</x:f>
        <x:v>Zhaolin</x:v>
      </x:c>
      <x:c r="D28" s="13" t="n">
        <x:f>VLOOKUP(A28,'Tasks'!$A$2:$X$224,12,FALSE)</x:f>
        <x:v>46310</x:v>
      </x:c>
      <x:c r="E28" s="13" t="n">
        <x:f>VLOOKUP(A28,'Tasks'!$A$2:$X$224,13,FALSE)</x:f>
        <x:v>46310</x:v>
      </x:c>
      <x:c r="F28" s="2" t="str">
        <x:f>VLOOKUP(A28,'Tasks'!$A$2:$X$224,22,FALSE)</x:f>
        <x:v>Todo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  <x:c r="AA28" s="2"/>
    </x:row>
    <x:row r="29" ht="34" customHeight="1">
      <x:c r="A29" s="2" t="str">
        <x:v>BL-B-03</x:v>
      </x:c>
      <x:c r="B29" s="7" t="str">
        <x:f>VLOOKUP(A29,'Tasks'!$A$2:$X$224,2,FALSE)</x:f>
        <x:v>Capture RGB-D and evaluation ground truth by frame</x:v>
      </x:c>
      <x:c r="C29" s="2" t="str">
        <x:f>VLOOKUP(A29,'Tasks'!$A$2:$X$224,9,FALSE)</x:f>
        <x:v>Mohammad</x:v>
      </x:c>
      <x:c r="D29" s="13" t="n">
        <x:f>VLOOKUP(A29,'Tasks'!$A$2:$X$224,12,FALSE)</x:f>
        <x:v>46310</x:v>
      </x:c>
      <x:c r="E29" s="13" t="n">
        <x:f>VLOOKUP(A29,'Tasks'!$A$2:$X$224,13,FALSE)</x:f>
        <x:v>46310</x:v>
      </x:c>
      <x:c r="F29" s="2" t="str">
        <x:f>VLOOKUP(A29,'Tasks'!$A$2:$X$224,22,FALSE)</x:f>
        <x:v>Todo</x:v>
      </x:c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  <x:c r="AA29" s="2"/>
    </x:row>
    <x:row r="30" ht="34" customHeight="1">
      <x:c r="A30" s="2" t="str">
        <x:v>BL-D-04</x:v>
      </x:c>
      <x:c r="B30" s="7" t="str">
        <x:f>VLOOKUP(A30,'Tasks'!$A$2:$X$224,2,FALSE)</x:f>
        <x:v>Implement route-frame obstacle footprints and corridor</x:v>
      </x:c>
      <x:c r="C30" s="2" t="str">
        <x:f>VLOOKUP(A30,'Tasks'!$A$2:$X$224,9,FALSE)</x:f>
        <x:v>Alan</x:v>
      </x:c>
      <x:c r="D30" s="13" t="n">
        <x:f>VLOOKUP(A30,'Tasks'!$A$2:$X$224,12,FALSE)</x:f>
        <x:v>46310</x:v>
      </x:c>
      <x:c r="E30" s="13" t="n">
        <x:f>VLOOKUP(A30,'Tasks'!$A$2:$X$224,13,FALSE)</x:f>
        <x:v>46310</x:v>
      </x:c>
      <x:c r="F30" s="2" t="str">
        <x:f>VLOOKUP(A30,'Tasks'!$A$2:$X$224,22,FALSE)</x:f>
        <x:v>Todo</x:v>
      </x:c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  <x:c r="AA30" s="2"/>
    </x:row>
    <x:row r="31" ht="34" customHeight="1">
      <x:c r="A31" s="2" t="str">
        <x:v>BL-C-04</x:v>
      </x:c>
      <x:c r="B31" s="7" t="str">
        <x:f>VLOOKUP(A31,'Tasks'!$A$2:$X$224,2,FALSE)</x:f>
        <x:v>Implement track confirmation, median filter and expiry</x:v>
      </x:c>
      <x:c r="C31" s="2" t="str">
        <x:f>VLOOKUP(A31,'Tasks'!$A$2:$X$224,9,FALSE)</x:f>
        <x:v>Ricky</x:v>
      </x:c>
      <x:c r="D31" s="13" t="n">
        <x:f>VLOOKUP(A31,'Tasks'!$A$2:$X$224,12,FALSE)</x:f>
        <x:v>46310</x:v>
      </x:c>
      <x:c r="E31" s="13" t="n">
        <x:f>VLOOKUP(A31,'Tasks'!$A$2:$X$224,13,FALSE)</x:f>
        <x:v>46310</x:v>
      </x:c>
      <x:c r="F31" s="2" t="str">
        <x:f>VLOOKUP(A31,'Tasks'!$A$2:$X$224,22,FALSE)</x:f>
        <x:v>Todo</x:v>
      </x:c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  <x:c r="AA31" s="2"/>
    </x:row>
    <x:row r="32" ht="34" customHeight="1">
      <x:c r="A32" s="2" t="str">
        <x:v>BL-E-03</x:v>
      </x:c>
      <x:c r="B32" s="7" t="str">
        <x:f>VLOOKUP(A32,'Tasks'!$A$2:$X$224,2,FALSE)</x:f>
        <x:v>Measure throttle and brake steps for the fixed vehicle</x:v>
      </x:c>
      <x:c r="C32" s="2" t="str">
        <x:f>VLOOKUP(A32,'Tasks'!$A$2:$X$224,9,FALSE)</x:f>
        <x:v>Abdullah</x:v>
      </x:c>
      <x:c r="D32" s="13" t="n">
        <x:f>VLOOKUP(A32,'Tasks'!$A$2:$X$224,12,FALSE)</x:f>
        <x:v>46311</x:v>
      </x:c>
      <x:c r="E32" s="13" t="n">
        <x:f>VLOOKUP(A32,'Tasks'!$A$2:$X$224,13,FALSE)</x:f>
        <x:v>46311</x:v>
      </x:c>
      <x:c r="F32" s="2" t="str">
        <x:f>VLOOKUP(A32,'Tasks'!$A$2:$X$224,22,FALSE)</x:f>
        <x:v>Todo</x:v>
      </x:c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  <x:c r="AA32" s="2"/>
    </x:row>
    <x:row r="33" ht="34" customHeight="1">
      <x:c r="A33" s="2" t="str">
        <x:v>BL-A-05</x:v>
      </x:c>
      <x:c r="B33" s="7" t="str">
        <x:f>VLOOKUP(A33,'Tasks'!$A$2:$X$224,2,FALSE)</x:f>
        <x:v>Tune fixed-dt control without replacing Pure Pursuit</x:v>
      </x:c>
      <x:c r="C33" s="2" t="str">
        <x:f>VLOOKUP(A33,'Tasks'!$A$2:$X$224,9,FALSE)</x:f>
        <x:v>Zhaolin</x:v>
      </x:c>
      <x:c r="D33" s="13" t="n">
        <x:f>VLOOKUP(A33,'Tasks'!$A$2:$X$224,12,FALSE)</x:f>
        <x:v>46311</x:v>
      </x:c>
      <x:c r="E33" s="13" t="n">
        <x:f>VLOOKUP(A33,'Tasks'!$A$2:$X$224,13,FALSE)</x:f>
        <x:v>46311</x:v>
      </x:c>
      <x:c r="F33" s="2" t="str">
        <x:f>VLOOKUP(A33,'Tasks'!$A$2:$X$224,22,FALSE)</x:f>
        <x:v>Todo</x:v>
      </x:c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  <x:c r="AA33" s="2"/>
    </x:row>
    <x:row r="34" ht="34" customHeight="1">
      <x:c r="A34" s="2" t="str">
        <x:v>BL-B-04</x:v>
      </x:c>
      <x:c r="B34" s="7" t="str">
        <x:f>VLOOKUP(A34,'Tasks'!$A$2:$X$224,2,FALSE)</x:f>
        <x:v>Validate depth convention and range accuracy in CARLA</x:v>
      </x:c>
      <x:c r="C34" s="2" t="str">
        <x:f>VLOOKUP(A34,'Tasks'!$A$2:$X$224,9,FALSE)</x:f>
        <x:v>Mohammad</x:v>
      </x:c>
      <x:c r="D34" s="13" t="n">
        <x:f>VLOOKUP(A34,'Tasks'!$A$2:$X$224,12,FALSE)</x:f>
        <x:v>46311</x:v>
      </x:c>
      <x:c r="E34" s="13" t="n">
        <x:f>VLOOKUP(A34,'Tasks'!$A$2:$X$224,13,FALSE)</x:f>
        <x:v>46311</x:v>
      </x:c>
      <x:c r="F34" s="2" t="str">
        <x:f>VLOOKUP(A34,'Tasks'!$A$2:$X$224,22,FALSE)</x:f>
        <x:v>Todo</x:v>
      </x:c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  <x:c r="AA34" s="2"/>
    </x:row>
    <x:row r="35" ht="34" customHeight="1">
      <x:c r="A35" s="2" t="str">
        <x:v>BL-C-05</x:v>
      </x:c>
      <x:c r="B35" s="7" t="str">
        <x:f>VLOOKUP(A35,'Tasks'!$A$2:$X$224,2,FALSE)</x:f>
        <x:v>Benchmark detection and track confirmation range offline</x:v>
      </x:c>
      <x:c r="C35" s="2" t="str">
        <x:f>VLOOKUP(A35,'Tasks'!$A$2:$X$224,9,FALSE)</x:f>
        <x:v>Ricky</x:v>
      </x:c>
      <x:c r="D35" s="13" t="n">
        <x:f>VLOOKUP(A35,'Tasks'!$A$2:$X$224,12,FALSE)</x:f>
        <x:v>46311</x:v>
      </x:c>
      <x:c r="E35" s="13" t="n">
        <x:f>VLOOKUP(A35,'Tasks'!$A$2:$X$224,13,FALSE)</x:f>
        <x:v>46311</x:v>
      </x:c>
      <x:c r="F35" s="2" t="str">
        <x:f>VLOOKUP(A35,'Tasks'!$A$2:$X$224,22,FALSE)</x:f>
        <x:v>Todo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  <x:c r="AA35" s="2"/>
    </x:row>
    <x:row r="36" ht="34" customHeight="1">
      <x:c r="A36" s="2" t="str">
        <x:v>BL-D-05</x:v>
      </x:c>
      <x:c r="B36" s="7" t="str">
        <x:f>VLOOKUP(A36,'Tasks'!$A$2:$X$224,2,FALSE)</x:f>
        <x:v>Specify behaviour guards and rate-limited speed policy</x:v>
      </x:c>
      <x:c r="C36" s="2" t="str">
        <x:f>VLOOKUP(A36,'Tasks'!$A$2:$X$224,9,FALSE)</x:f>
        <x:v>Alan</x:v>
      </x:c>
      <x:c r="D36" s="13" t="n">
        <x:f>VLOOKUP(A36,'Tasks'!$A$2:$X$224,12,FALSE)</x:f>
        <x:v>46311</x:v>
      </x:c>
      <x:c r="E36" s="13" t="n">
        <x:f>VLOOKUP(A36,'Tasks'!$A$2:$X$224,13,FALSE)</x:f>
        <x:v>46311</x:v>
      </x:c>
      <x:c r="F36" s="2" t="str">
        <x:f>VLOOKUP(A36,'Tasks'!$A$2:$X$224,22,FALSE)</x:f>
        <x:v>Todo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  <x:c r="AA36" s="2"/>
    </x:row>
    <x:row r="37" ht="34" customHeight="1">
      <x:c r="A37" s="2" t="str">
        <x:v>BL-F-04</x:v>
      </x:c>
      <x:c r="B37" s="7" t="str">
        <x:f>VLOOKUP(A37,'Tasks'!$A$2:$X$224,2,FALSE)</x:f>
        <x:v>Add harness S0 to CI and preserve A1 checks</x:v>
      </x:c>
      <x:c r="C37" s="2" t="str">
        <x:f>VLOOKUP(A37,'Tasks'!$A$2:$X$224,9,FALSE)</x:f>
        <x:v>Saviour</x:v>
      </x:c>
      <x:c r="D37" s="13" t="n">
        <x:f>VLOOKUP(A37,'Tasks'!$A$2:$X$224,12,FALSE)</x:f>
        <x:v>46311</x:v>
      </x:c>
      <x:c r="E37" s="13" t="n">
        <x:f>VLOOKUP(A37,'Tasks'!$A$2:$X$224,13,FALSE)</x:f>
        <x:v>46311</x:v>
      </x:c>
      <x:c r="F37" s="2" t="str">
        <x:f>VLOOKUP(A37,'Tasks'!$A$2:$X$224,22,FALSE)</x:f>
        <x:v>Todo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  <x:c r="AA37" s="2"/>
    </x:row>
    <x:row r="38" ht="34" customHeight="1">
      <x:c r="A38" s="2" t="str">
        <x:v>TEST-02</x:v>
      </x:c>
      <x:c r="B38" s="7" t="str">
        <x:f>VLOOKUP(A38,'Tasks'!$A$2:$X$224,2,FALSE)</x:f>
        <x:v>Run navigation S0 acceptance five times</x:v>
      </x:c>
      <x:c r="C38" s="2" t="str">
        <x:f>VLOOKUP(A38,'Tasks'!$A$2:$X$224,9,FALSE)</x:f>
        <x:v>Zhaolin</x:v>
      </x:c>
      <x:c r="D38" s="13" t="n">
        <x:f>VLOOKUP(A38,'Tasks'!$A$2:$X$224,12,FALSE)</x:f>
        <x:v>46312</x:v>
      </x:c>
      <x:c r="E38" s="13" t="n">
        <x:f>VLOOKUP(A38,'Tasks'!$A$2:$X$224,13,FALSE)</x:f>
        <x:v>46312</x:v>
      </x:c>
      <x:c r="F38" s="2" t="str">
        <x:f>VLOOKUP(A38,'Tasks'!$A$2:$X$224,22,FALSE)</x:f>
        <x:v>Todo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  <x:c r="AA38" s="2"/>
    </x:row>
    <x:row r="39" ht="34" customHeight="1">
      <x:c r="A39" s="2" t="str">
        <x:v>TEST-03</x:v>
      </x:c>
      <x:c r="B39" s="7" t="str">
        <x:f>VLOOKUP(A39,'Tasks'!$A$2:$X$224,2,FALSE)</x:f>
        <x:v>Measure repaired versus A1 navigation and loop cost</x:v>
      </x:c>
      <x:c r="C39" s="2" t="str">
        <x:f>VLOOKUP(A39,'Tasks'!$A$2:$X$224,9,FALSE)</x:f>
        <x:v>Abdullah</x:v>
      </x:c>
      <x:c r="D39" s="13" t="n">
        <x:f>VLOOKUP(A39,'Tasks'!$A$2:$X$224,12,FALSE)</x:f>
        <x:v>46312</x:v>
      </x:c>
      <x:c r="E39" s="13" t="n">
        <x:f>VLOOKUP(A39,'Tasks'!$A$2:$X$224,13,FALSE)</x:f>
        <x:v>46312</x:v>
      </x:c>
      <x:c r="F39" s="2" t="str">
        <x:f>VLOOKUP(A39,'Tasks'!$A$2:$X$224,22,FALSE)</x:f>
        <x:v>Todo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  <x:c r="AA39" s="2"/>
    </x:row>
    <x:row r="40" ht="34" customHeight="1">
      <x:c r="A40" s="2" t="str">
        <x:v>BL-B-05</x:v>
      </x:c>
      <x:c r="B40" s="7" t="str">
        <x:f>VLOOKUP(A40,'Tasks'!$A$2:$X$224,2,FALSE)</x:f>
        <x:v>Test optional segmentation masking for depth medians</x:v>
      </x:c>
      <x:c r="C40" s="2" t="str">
        <x:f>VLOOKUP(A40,'Tasks'!$A$2:$X$224,9,FALSE)</x:f>
        <x:v>Mohammad</x:v>
      </x:c>
      <x:c r="D40" s="13" t="n">
        <x:f>VLOOKUP(A40,'Tasks'!$A$2:$X$224,12,FALSE)</x:f>
        <x:v>46312</x:v>
      </x:c>
      <x:c r="E40" s="13" t="n">
        <x:f>VLOOKUP(A40,'Tasks'!$A$2:$X$224,13,FALSE)</x:f>
        <x:v>46312</x:v>
      </x:c>
      <x:c r="F40" s="2" t="str">
        <x:f>VLOOKUP(A40,'Tasks'!$A$2:$X$224,22,FALSE)</x:f>
        <x:v>Todo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  <x:c r="AA40" s="2"/>
    </x:row>
    <x:row r="41" ht="34" customHeight="1">
      <x:c r="A41" s="2" t="str">
        <x:v>BL-D-06</x:v>
      </x:c>
      <x:c r="B41" s="7" t="str">
        <x:f>VLOOKUP(A41,'Tasks'!$A$2:$X$224,2,FALSE)</x:f>
        <x:v>Freeze conservative speed and acceptance configuration</x:v>
      </x:c>
      <x:c r="C41" s="2" t="str">
        <x:f>VLOOKUP(A41,'Tasks'!$A$2:$X$224,9,FALSE)</x:f>
        <x:v>Alan</x:v>
      </x:c>
      <x:c r="D41" s="13" t="n">
        <x:f>VLOOKUP(A41,'Tasks'!$A$2:$X$224,12,FALSE)</x:f>
        <x:v>46312</x:v>
      </x:c>
      <x:c r="E41" s="13" t="n">
        <x:f>VLOOKUP(A41,'Tasks'!$A$2:$X$224,13,FALSE)</x:f>
        <x:v>46312</x:v>
      </x:c>
      <x:c r="F41" s="2" t="str">
        <x:f>VLOOKUP(A41,'Tasks'!$A$2:$X$224,22,FALSE)</x:f>
        <x:v>Todo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  <x:c r="AA41" s="2"/>
    </x:row>
    <x:row r="42" ht="34" customHeight="1">
      <x:c r="A42" s="2" t="str">
        <x:v>G1-01</x:v>
      </x:c>
      <x:c r="B42" s="7" t="str">
        <x:f>VLOOKUP(A42,'Tasks'!$A$2:$X$224,2,FALSE)</x:f>
        <x:v>Approve or block the navigation gate with evidence</x:v>
      </x:c>
      <x:c r="C42" s="2" t="str">
        <x:f>VLOOKUP(A42,'Tasks'!$A$2:$X$224,9,FALSE)</x:f>
        <x:v>Zhaolin</x:v>
      </x:c>
      <x:c r="D42" s="13" t="n">
        <x:f>VLOOKUP(A42,'Tasks'!$A$2:$X$224,12,FALSE)</x:f>
        <x:v>46313</x:v>
      </x:c>
      <x:c r="E42" s="13" t="n">
        <x:f>VLOOKUP(A42,'Tasks'!$A$2:$X$224,13,FALSE)</x:f>
        <x:v>46313</x:v>
      </x:c>
      <x:c r="F42" s="2" t="str">
        <x:f>VLOOKUP(A42,'Tasks'!$A$2:$X$224,22,FALSE)</x:f>
        <x:v>Todo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  <x:c r="AA42" s="2"/>
    </x:row>
    <x:row r="43" ht="34" customHeight="1">
      <x:c r="A43" s="2" t="str">
        <x:v>RV-06</x:v>
      </x:c>
      <x:c r="B43" s="7" t="str">
        <x:f>VLOOKUP(A43,'Tasks'!$A$2:$X$224,2,FALSE)</x:f>
        <x:v>Repurpose lane estimates as departure monitor and HUD</x:v>
      </x:c>
      <x:c r="C43" s="2" t="str">
        <x:f>VLOOKUP(A43,'Tasks'!$A$2:$X$224,9,FALSE)</x:f>
        <x:v>Abdullah</x:v>
      </x:c>
      <x:c r="D43" s="13" t="n">
        <x:f>VLOOKUP(A43,'Tasks'!$A$2:$X$224,12,FALSE)</x:f>
        <x:v>46313</x:v>
      </x:c>
      <x:c r="E43" s="13" t="n">
        <x:f>VLOOKUP(A43,'Tasks'!$A$2:$X$224,13,FALSE)</x:f>
        <x:v>46313</x:v>
      </x:c>
      <x:c r="F43" s="2" t="str">
        <x:f>VLOOKUP(A43,'Tasks'!$A$2:$X$224,22,FALSE)</x:f>
        <x:v>Todo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  <x:c r="AA43" s="2"/>
    </x:row>
    <x:row r="44" ht="34" customHeight="1">
      <x:c r="A44" s="2" t="str">
        <x:v>BL-F-05</x:v>
      </x:c>
      <x:c r="B44" s="7" t="str">
        <x:f>VLOOKUP(A44,'Tasks'!$A$2:$X$224,2,FALSE)</x:f>
        <x:v>Implement reproducible logger and metric aggregation</x:v>
      </x:c>
      <x:c r="C44" s="2" t="str">
        <x:f>VLOOKUP(A44,'Tasks'!$A$2:$X$224,9,FALSE)</x:f>
        <x:v>Saviour</x:v>
      </x:c>
      <x:c r="D44" s="13" t="n">
        <x:f>VLOOKUP(A44,'Tasks'!$A$2:$X$224,12,FALSE)</x:f>
        <x:v>46312</x:v>
      </x:c>
      <x:c r="E44" s="13" t="n">
        <x:f>VLOOKUP(A44,'Tasks'!$A$2:$X$224,13,FALSE)</x:f>
        <x:v>46312</x:v>
      </x:c>
      <x:c r="F44" s="2" t="str">
        <x:f>VLOOKUP(A44,'Tasks'!$A$2:$X$224,22,FALSE)</x:f>
        <x:v>Todo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  <x:c r="AA44" s="2"/>
    </x:row>
    <x:row r="45" ht="34" customHeight="1">
      <x:c r="A45" s="2" t="str">
        <x:v>BL-D-07</x:v>
      </x:c>
      <x:c r="B45" s="7" t="str">
        <x:f>VLOOKUP(A45,'Tasks'!$A$2:$X$224,2,FALSE)</x:f>
        <x:v>Implement obstacle and curvature speed governor</x:v>
      </x:c>
      <x:c r="C45" s="2" t="str">
        <x:f>VLOOKUP(A45,'Tasks'!$A$2:$X$224,9,FALSE)</x:f>
        <x:v>Alan</x:v>
      </x:c>
      <x:c r="D45" s="13" t="n">
        <x:f>VLOOKUP(A45,'Tasks'!$A$2:$X$224,12,FALSE)</x:f>
        <x:v>46313</x:v>
      </x:c>
      <x:c r="E45" s="13" t="n">
        <x:f>VLOOKUP(A45,'Tasks'!$A$2:$X$224,13,FALSE)</x:f>
        <x:v>46313</x:v>
      </x:c>
      <x:c r="F45" s="2" t="str">
        <x:f>VLOOKUP(A45,'Tasks'!$A$2:$X$224,22,FALSE)</x:f>
        <x:v>Todo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  <x:c r="AA45" s="2"/>
    </x:row>
    <x:row r="46" ht="34" customHeight="1">
      <x:c r="A46" s="2" t="str">
        <x:v>BL-C-06</x:v>
      </x:c>
      <x:c r="B46" s="7" t="str">
        <x:f>VLOOKUP(A46,'Tasks'!$A$2:$X$224,2,FALSE)</x:f>
        <x:v>Join detector tracks to valid depth observations</x:v>
      </x:c>
      <x:c r="C46" s="2" t="str">
        <x:f>VLOOKUP(A46,'Tasks'!$A$2:$X$224,9,FALSE)</x:f>
        <x:v>Ricky</x:v>
      </x:c>
      <x:c r="D46" s="13" t="n">
        <x:f>VLOOKUP(A46,'Tasks'!$A$2:$X$224,12,FALSE)</x:f>
        <x:v>46313</x:v>
      </x:c>
      <x:c r="E46" s="13" t="n">
        <x:f>VLOOKUP(A46,'Tasks'!$A$2:$X$224,13,FALSE)</x:f>
        <x:v>46313</x:v>
      </x:c>
      <x:c r="F46" s="2" t="str">
        <x:f>VLOOKUP(A46,'Tasks'!$A$2:$X$224,22,FALSE)</x:f>
        <x:v>Todo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  <x:c r="AA46" s="2"/>
    </x:row>
    <x:row r="47" ht="34" customHeight="1">
      <x:c r="A47" s="2" t="str">
        <x:v>BL-B-06</x:v>
      </x:c>
      <x:c r="B47" s="7" t="str">
        <x:f>VLOOKUP(A47,'Tasks'!$A$2:$X$224,2,FALSE)</x:f>
        <x:v>Implement deterministic obstacle scenarios and events</x:v>
      </x:c>
      <x:c r="C47" s="2" t="str">
        <x:f>VLOOKUP(A47,'Tasks'!$A$2:$X$224,9,FALSE)</x:f>
        <x:v>Mohammad</x:v>
      </x:c>
      <x:c r="D47" s="13" t="n">
        <x:f>VLOOKUP(A47,'Tasks'!$A$2:$X$224,12,FALSE)</x:f>
        <x:v>46314</x:v>
      </x:c>
      <x:c r="E47" s="13" t="n">
        <x:f>VLOOKUP(A47,'Tasks'!$A$2:$X$224,13,FALSE)</x:f>
        <x:v>46314</x:v>
      </x:c>
      <x:c r="F47" s="2" t="str">
        <x:f>VLOOKUP(A47,'Tasks'!$A$2:$X$224,22,FALSE)</x:f>
        <x:v>Todo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  <x:c r="AA47" s="2"/>
    </x:row>
    <x:row r="48" ht="34" customHeight="1">
      <x:c r="A48" s="2" t="str">
        <x:v>BL-D-08</x:v>
      </x:c>
      <x:c r="B48" s="7" t="str">
        <x:f>VLOOKUP(A48,'Tasks'!$A$2:$X$224,2,FALSE)</x:f>
        <x:v>Implement stop-hold-resume state machine</x:v>
      </x:c>
      <x:c r="C48" s="2" t="str">
        <x:f>VLOOKUP(A48,'Tasks'!$A$2:$X$224,9,FALSE)</x:f>
        <x:v>Alan</x:v>
      </x:c>
      <x:c r="D48" s="13" t="n">
        <x:f>VLOOKUP(A48,'Tasks'!$A$2:$X$224,12,FALSE)</x:f>
        <x:v>46314</x:v>
      </x:c>
      <x:c r="E48" s="13" t="n">
        <x:f>VLOOKUP(A48,'Tasks'!$A$2:$X$224,13,FALSE)</x:f>
        <x:v>46314</x:v>
      </x:c>
      <x:c r="F48" s="2" t="str">
        <x:f>VLOOKUP(A48,'Tasks'!$A$2:$X$224,22,FALSE)</x:f>
        <x:v>Todo</x:v>
      </x:c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  <x:c r="AA48" s="2"/>
    </x:row>
    <x:row r="49" ht="34" customHeight="1">
      <x:c r="A49" s="2" t="str">
        <x:v>BL-F-06</x:v>
      </x:c>
      <x:c r="B49" s="7" t="str">
        <x:f>VLOOKUP(A49,'Tasks'!$A$2:$X$224,2,FALSE)</x:f>
        <x:v>Integrate perception-to-control stop in the harness</x:v>
      </x:c>
      <x:c r="C49" s="2" t="str">
        <x:f>VLOOKUP(A49,'Tasks'!$A$2:$X$224,9,FALSE)</x:f>
        <x:v>Saviour</x:v>
      </x:c>
      <x:c r="D49" s="13" t="n">
        <x:f>VLOOKUP(A49,'Tasks'!$A$2:$X$224,12,FALSE)</x:f>
        <x:v>46315</x:v>
      </x:c>
      <x:c r="E49" s="13" t="n">
        <x:f>VLOOKUP(A49,'Tasks'!$A$2:$X$224,13,FALSE)</x:f>
        <x:v>46315</x:v>
      </x:c>
      <x:c r="F49" s="2" t="str">
        <x:f>VLOOKUP(A49,'Tasks'!$A$2:$X$224,22,FALSE)</x:f>
        <x:v>Todo</x:v>
      </x:c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  <x:c r="AA49" s="2"/>
    </x:row>
    <x:row r="50" ht="34" customHeight="1">
      <x:c r="A50" s="2" t="str">
        <x:v>BL-E-04</x:v>
      </x:c>
      <x:c r="B50" s="7" t="str">
        <x:f>VLOOKUP(A50,'Tasks'!$A$2:$X$224,2,FALSE)</x:f>
        <x:v>Wire the complete stack into CarlaWorld</x:v>
      </x:c>
      <x:c r="C50" s="2" t="str">
        <x:f>VLOOKUP(A50,'Tasks'!$A$2:$X$224,9,FALSE)</x:f>
        <x:v>Abdullah</x:v>
      </x:c>
      <x:c r="D50" s="13" t="n">
        <x:f>VLOOKUP(A50,'Tasks'!$A$2:$X$224,12,FALSE)</x:f>
        <x:v>46315</x:v>
      </x:c>
      <x:c r="E50" s="13" t="n">
        <x:f>VLOOKUP(A50,'Tasks'!$A$2:$X$224,13,FALSE)</x:f>
        <x:v>46315</x:v>
      </x:c>
      <x:c r="F50" s="2" t="str">
        <x:f>VLOOKUP(A50,'Tasks'!$A$2:$X$224,22,FALSE)</x:f>
        <x:v>Todo</x:v>
      </x:c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  <x:c r="AA50" s="2"/>
    </x:row>
    <x:row r="51" ht="34" customHeight="1">
      <x:c r="A51" s="2" t="str">
        <x:v>G2-01</x:v>
      </x:c>
      <x:c r="B51" s="7" t="str">
        <x:f>VLOOKUP(A51,'Tasks'!$A$2:$X$224,2,FALSE)</x:f>
        <x:v>Demonstrate the first perception-driven stationary-car stop</x:v>
      </x:c>
      <x:c r="C51" s="2" t="str">
        <x:f>VLOOKUP(A51,'Tasks'!$A$2:$X$224,9,FALSE)</x:f>
        <x:v>Abdullah</x:v>
      </x:c>
      <x:c r="D51" s="13" t="n">
        <x:f>VLOOKUP(A51,'Tasks'!$A$2:$X$224,12,FALSE)</x:f>
        <x:v>46316</x:v>
      </x:c>
      <x:c r="E51" s="13" t="n">
        <x:f>VLOOKUP(A51,'Tasks'!$A$2:$X$224,13,FALSE)</x:f>
        <x:v>46316</x:v>
      </x:c>
      <x:c r="F51" s="2" t="str">
        <x:f>VLOOKUP(A51,'Tasks'!$A$2:$X$224,22,FALSE)</x:f>
        <x:v>Todo</x:v>
      </x:c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</x:row>
    <x:row r="52" ht="34" customHeight="1">
      <x:c r="A52" s="2" t="str">
        <x:v>BL-A-06</x:v>
      </x:c>
      <x:c r="B52" s="7" t="str">
        <x:f>VLOOKUP(A52,'Tasks'!$A$2:$X$224,2,FALSE)</x:f>
        <x:v>Verify temporary stops do not latch mission completion</x:v>
      </x:c>
      <x:c r="C52" s="2" t="str">
        <x:f>VLOOKUP(A52,'Tasks'!$A$2:$X$224,9,FALSE)</x:f>
        <x:v>Zhaolin</x:v>
      </x:c>
      <x:c r="D52" s="13" t="n">
        <x:f>VLOOKUP(A52,'Tasks'!$A$2:$X$224,12,FALSE)</x:f>
        <x:v>46315</x:v>
      </x:c>
      <x:c r="E52" s="13" t="n">
        <x:f>VLOOKUP(A52,'Tasks'!$A$2:$X$224,13,FALSE)</x:f>
        <x:v>46315</x:v>
      </x:c>
      <x:c r="F52" s="2" t="str">
        <x:f>VLOOKUP(A52,'Tasks'!$A$2:$X$224,22,FALSE)</x:f>
        <x:v>Todo</x:v>
      </x:c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</x:row>
    <x:row r="53" ht="34" customHeight="1">
      <x:c r="A53" s="2" t="str">
        <x:v>BL-D-09</x:v>
      </x:c>
      <x:c r="B53" s="7" t="str">
        <x:f>VLOOKUP(A53,'Tasks'!$A$2:$X$224,2,FALSE)</x:f>
        <x:v>Tune stopping margin and visibility-aware clear hysteresis</x:v>
      </x:c>
      <x:c r="C53" s="2" t="str">
        <x:f>VLOOKUP(A53,'Tasks'!$A$2:$X$224,9,FALSE)</x:f>
        <x:v>Alan</x:v>
      </x:c>
      <x:c r="D53" s="13" t="n">
        <x:f>VLOOKUP(A53,'Tasks'!$A$2:$X$224,12,FALSE)</x:f>
        <x:v>46317</x:v>
      </x:c>
      <x:c r="E53" s="13" t="n">
        <x:f>VLOOKUP(A53,'Tasks'!$A$2:$X$224,13,FALSE)</x:f>
        <x:v>46317</x:v>
      </x:c>
      <x:c r="F53" s="2" t="str">
        <x:f>VLOOKUP(A53,'Tasks'!$A$2:$X$224,22,FALSE)</x:f>
        <x:v>Todo</x:v>
      </x:c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</x:row>
    <x:row r="54" ht="34" customHeight="1">
      <x:c r="A54" s="2" t="str">
        <x:v>BL-C-07</x:v>
      </x:c>
      <x:c r="B54" s="7" t="str">
        <x:f>VLOOKUP(A54,'Tasks'!$A$2:$X$224,2,FALSE)</x:f>
        <x:v>Fix detection flicker and ID-switch failures from first stop</x:v>
      </x:c>
      <x:c r="C54" s="2" t="str">
        <x:f>VLOOKUP(A54,'Tasks'!$A$2:$X$224,9,FALSE)</x:f>
        <x:v>Ricky</x:v>
      </x:c>
      <x:c r="D54" s="13" t="n">
        <x:f>VLOOKUP(A54,'Tasks'!$A$2:$X$224,12,FALSE)</x:f>
        <x:v>46317</x:v>
      </x:c>
      <x:c r="E54" s="13" t="n">
        <x:f>VLOOKUP(A54,'Tasks'!$A$2:$X$224,13,FALSE)</x:f>
        <x:v>46317</x:v>
      </x:c>
      <x:c r="F54" s="2" t="str">
        <x:f>VLOOKUP(A54,'Tasks'!$A$2:$X$224,22,FALSE)</x:f>
        <x:v>Todo</x:v>
      </x:c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</x:row>
    <x:row r="55" ht="34" customHeight="1">
      <x:c r="A55" s="2" t="str">
        <x:v>BL-F-07</x:v>
      </x:c>
      <x:c r="B55" s="7" t="str">
        <x:f>VLOOKUP(A55,'Tasks'!$A$2:$X$224,2,FALSE)</x:f>
        <x:v>Build one-command acceptance runner and fault suite</x:v>
      </x:c>
      <x:c r="C55" s="2" t="str">
        <x:f>VLOOKUP(A55,'Tasks'!$A$2:$X$224,9,FALSE)</x:f>
        <x:v>Saviour</x:v>
      </x:c>
      <x:c r="D55" s="13" t="n">
        <x:f>VLOOKUP(A55,'Tasks'!$A$2:$X$224,12,FALSE)</x:f>
        <x:v>46317</x:v>
      </x:c>
      <x:c r="E55" s="13" t="n">
        <x:f>VLOOKUP(A55,'Tasks'!$A$2:$X$224,13,FALSE)</x:f>
        <x:v>46317</x:v>
      </x:c>
      <x:c r="F55" s="2" t="str">
        <x:f>VLOOKUP(A55,'Tasks'!$A$2:$X$224,22,FALSE)</x:f>
        <x:v>Todo</x:v>
      </x:c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</x:row>
    <x:row r="56" ht="34" customHeight="1">
      <x:c r="A56" s="2" t="str">
        <x:v>BL-B-07</x:v>
      </x:c>
      <x:c r="B56" s="7" t="str">
        <x:f>VLOOKUP(A56,'Tasks'!$A$2:$X$224,2,FALSE)</x:f>
        <x:v>Verify collision, lane invasion and ground-truth metrics</x:v>
      </x:c>
      <x:c r="C56" s="2" t="str">
        <x:f>VLOOKUP(A56,'Tasks'!$A$2:$X$224,9,FALSE)</x:f>
        <x:v>Mohammad</x:v>
      </x:c>
      <x:c r="D56" s="13" t="n">
        <x:f>VLOOKUP(A56,'Tasks'!$A$2:$X$224,12,FALSE)</x:f>
        <x:v>46317</x:v>
      </x:c>
      <x:c r="E56" s="13" t="n">
        <x:f>VLOOKUP(A56,'Tasks'!$A$2:$X$224,13,FALSE)</x:f>
        <x:v>46317</x:v>
      </x:c>
      <x:c r="F56" s="2" t="str">
        <x:f>VLOOKUP(A56,'Tasks'!$A$2:$X$224,22,FALSE)</x:f>
        <x:v>Todo</x:v>
      </x:c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  <x:c r="AA56" s="2"/>
    </x:row>
    <x:row r="57" ht="34" customHeight="1">
      <x:c r="A57" s="2" t="str">
        <x:v>TEST-04</x:v>
      </x:c>
      <x:c r="B57" s="7" t="str">
        <x:f>VLOOKUP(A57,'Tasks'!$A$2:$X$224,2,FALSE)</x:f>
        <x:v>Run five S1 and five S2 stop-resume acceptance trials</x:v>
      </x:c>
      <x:c r="C57" s="2" t="str">
        <x:f>VLOOKUP(A57,'Tasks'!$A$2:$X$224,9,FALSE)</x:f>
        <x:v>Alan</x:v>
      </x:c>
      <x:c r="D57" s="13" t="n">
        <x:f>VLOOKUP(A57,'Tasks'!$A$2:$X$224,12,FALSE)</x:f>
        <x:v>46318</x:v>
      </x:c>
      <x:c r="E57" s="13" t="n">
        <x:f>VLOOKUP(A57,'Tasks'!$A$2:$X$224,13,FALSE)</x:f>
        <x:v>46318</x:v>
      </x:c>
      <x:c r="F57" s="2" t="str">
        <x:f>VLOOKUP(A57,'Tasks'!$A$2:$X$224,22,FALSE)</x:f>
        <x:v>Todo</x:v>
      </x:c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  <x:c r="AA57" s="2"/>
    </x:row>
    <x:row r="58" ht="34" customHeight="1">
      <x:c r="A58" s="2" t="str">
        <x:v>TEST-05</x:v>
      </x:c>
      <x:c r="B58" s="7" t="str">
        <x:f>VLOOKUP(A58,'Tasks'!$A$2:$X$224,2,FALSE)</x:f>
        <x:v>Run five S3 and five S4 acceptance trials</x:v>
      </x:c>
      <x:c r="C58" s="2" t="str">
        <x:f>VLOOKUP(A58,'Tasks'!$A$2:$X$224,9,FALSE)</x:f>
        <x:v>Mohammad</x:v>
      </x:c>
      <x:c r="D58" s="13" t="n">
        <x:f>VLOOKUP(A58,'Tasks'!$A$2:$X$224,12,FALSE)</x:f>
        <x:v>46318</x:v>
      </x:c>
      <x:c r="E58" s="13" t="n">
        <x:f>VLOOKUP(A58,'Tasks'!$A$2:$X$224,13,FALSE)</x:f>
        <x:v>46318</x:v>
      </x:c>
      <x:c r="F58" s="2" t="str">
        <x:f>VLOOKUP(A58,'Tasks'!$A$2:$X$224,22,FALSE)</x:f>
        <x:v>Todo</x:v>
      </x:c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  <x:c r="AA58" s="2"/>
    </x:row>
    <x:row r="59" ht="34" customHeight="1">
      <x:c r="A59" s="2" t="str">
        <x:v>TEST-06</x:v>
      </x:c>
      <x:c r="B59" s="7" t="str">
        <x:f>VLOOKUP(A59,'Tasks'!$A$2:$X$224,2,FALSE)</x:f>
        <x:v>Repeat five S0 trials with the complete perception stack</x:v>
      </x:c>
      <x:c r="C59" s="2" t="str">
        <x:f>VLOOKUP(A59,'Tasks'!$A$2:$X$224,9,FALSE)</x:f>
        <x:v>Zhaolin</x:v>
      </x:c>
      <x:c r="D59" s="13" t="n">
        <x:f>VLOOKUP(A59,'Tasks'!$A$2:$X$224,12,FALSE)</x:f>
        <x:v>46318</x:v>
      </x:c>
      <x:c r="E59" s="13" t="n">
        <x:f>VLOOKUP(A59,'Tasks'!$A$2:$X$224,13,FALSE)</x:f>
        <x:v>46318</x:v>
      </x:c>
      <x:c r="F59" s="2" t="str">
        <x:f>VLOOKUP(A59,'Tasks'!$A$2:$X$224,22,FALSE)</x:f>
        <x:v>Todo</x:v>
      </x:c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</x:row>
    <x:row r="60" ht="34" customHeight="1">
      <x:c r="A60" s="2" t="str">
        <x:v>TEST-07</x:v>
      </x:c>
      <x:c r="B60" s="7" t="str">
        <x:f>VLOOKUP(A60,'Tasks'!$A$2:$X$224,2,FALSE)</x:f>
        <x:v>Run five S5 bend-obstacle acceptance trials</x:v>
      </x:c>
      <x:c r="C60" s="2" t="str">
        <x:f>VLOOKUP(A60,'Tasks'!$A$2:$X$224,9,FALSE)</x:f>
        <x:v>Abdullah</x:v>
      </x:c>
      <x:c r="D60" s="13" t="n">
        <x:f>VLOOKUP(A60,'Tasks'!$A$2:$X$224,12,FALSE)</x:f>
        <x:v>46318</x:v>
      </x:c>
      <x:c r="E60" s="13" t="n">
        <x:f>VLOOKUP(A60,'Tasks'!$A$2:$X$224,13,FALSE)</x:f>
        <x:v>46318</x:v>
      </x:c>
      <x:c r="F60" s="2" t="str">
        <x:f>VLOOKUP(A60,'Tasks'!$A$2:$X$224,22,FALSE)</x:f>
        <x:v>Todo</x:v>
      </x:c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</x:row>
    <x:row r="61" ht="34" customHeight="1">
      <x:c r="A61" s="2" t="str">
        <x:v>TEST-08</x:v>
      </x:c>
      <x:c r="B61" s="7" t="str">
        <x:f>VLOOKUP(A61,'Tasks'!$A$2:$X$224,2,FALSE)</x:f>
        <x:v>Aggregate all 30 baseline runs and fault tests</x:v>
      </x:c>
      <x:c r="C61" s="2" t="str">
        <x:f>VLOOKUP(A61,'Tasks'!$A$2:$X$224,9,FALSE)</x:f>
        <x:v>Saviour</x:v>
      </x:c>
      <x:c r="D61" s="13" t="n">
        <x:f>VLOOKUP(A61,'Tasks'!$A$2:$X$224,12,FALSE)</x:f>
        <x:v>46319</x:v>
      </x:c>
      <x:c r="E61" s="13" t="n">
        <x:f>VLOOKUP(A61,'Tasks'!$A$2:$X$224,13,FALSE)</x:f>
        <x:v>46319</x:v>
      </x:c>
      <x:c r="F61" s="2" t="str">
        <x:f>VLOOKUP(A61,'Tasks'!$A$2:$X$224,22,FALSE)</x:f>
        <x:v>Todo</x:v>
      </x:c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</x:row>
    <x:row r="62" ht="34" customHeight="1">
      <x:c r="A62" s="2" t="str">
        <x:v>TEST-09</x:v>
      </x:c>
      <x:c r="B62" s="7" t="str">
        <x:f>VLOOKUP(A62,'Tasks'!$A$2:$X$224,2,FALSE)</x:f>
        <x:v>Audit held-out detections and false-stop evidence</x:v>
      </x:c>
      <x:c r="C62" s="2" t="str">
        <x:f>VLOOKUP(A62,'Tasks'!$A$2:$X$224,9,FALSE)</x:f>
        <x:v>Ricky</x:v>
      </x:c>
      <x:c r="D62" s="13" t="n">
        <x:f>VLOOKUP(A62,'Tasks'!$A$2:$X$224,12,FALSE)</x:f>
        <x:v>46319</x:v>
      </x:c>
      <x:c r="E62" s="13" t="n">
        <x:f>VLOOKUP(A62,'Tasks'!$A$2:$X$224,13,FALSE)</x:f>
        <x:v>46319</x:v>
      </x:c>
      <x:c r="F62" s="2" t="str">
        <x:f>VLOOKUP(A62,'Tasks'!$A$2:$X$224,22,FALSE)</x:f>
        <x:v>Todo</x:v>
      </x:c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  <x:c r="AA62" s="2"/>
    </x:row>
    <x:row r="63" ht="34" customHeight="1">
      <x:c r="A63" s="2" t="str">
        <x:v>TEST-10</x:v>
      </x:c>
      <x:c r="B63" s="7" t="str">
        <x:f>VLOOKUP(A63,'Tasks'!$A$2:$X$224,2,FALSE)</x:f>
        <x:v>Close integration defects and rerun affected scenarios</x:v>
      </x:c>
      <x:c r="C63" s="2" t="str">
        <x:f>VLOOKUP(A63,'Tasks'!$A$2:$X$224,9,FALSE)</x:f>
        <x:v>Abdullah</x:v>
      </x:c>
      <x:c r="D63" s="13" t="n">
        <x:f>VLOOKUP(A63,'Tasks'!$A$2:$X$224,12,FALSE)</x:f>
        <x:v>46319</x:v>
      </x:c>
      <x:c r="E63" s="13" t="n">
        <x:f>VLOOKUP(A63,'Tasks'!$A$2:$X$224,13,FALSE)</x:f>
        <x:v>46319</x:v>
      </x:c>
      <x:c r="F63" s="2" t="str">
        <x:f>VLOOKUP(A63,'Tasks'!$A$2:$X$224,22,FALSE)</x:f>
        <x:v>Todo</x:v>
      </x:c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  <x:c r="AA63" s="2"/>
    </x:row>
    <x:row r="64" ht="34" customHeight="1">
      <x:c r="A64" s="2" t="str">
        <x:v>G3-01</x:v>
      </x:c>
      <x:c r="B64" s="7" t="str">
        <x:f>VLOOKUP(A64,'Tasks'!$A$2:$X$224,2,FALSE)</x:f>
        <x:v>Freeze baseline and make extension admission decisions</x:v>
      </x:c>
      <x:c r="C64" s="2" t="str">
        <x:f>VLOOKUP(A64,'Tasks'!$A$2:$X$224,9,FALSE)</x:f>
        <x:v>Alan</x:v>
      </x:c>
      <x:c r="D64" s="13" t="n">
        <x:f>VLOOKUP(A64,'Tasks'!$A$2:$X$224,12,FALSE)</x:f>
        <x:v>46320</x:v>
      </x:c>
      <x:c r="E64" s="13" t="n">
        <x:f>VLOOKUP(A64,'Tasks'!$A$2:$X$224,13,FALSE)</x:f>
        <x:v>46320</x:v>
      </x:c>
      <x:c r="F64" s="2" t="str">
        <x:f>VLOOKUP(A64,'Tasks'!$A$2:$X$224,22,FALSE)</x:f>
        <x:v>Todo</x:v>
      </x:c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  <x:c r="AA64" s="2"/>
    </x:row>
    <x:row r="65" ht="34" customHeight="1">
      <x:c r="A65" s="2" t="str">
        <x:v>RV-07</x:v>
      </x:c>
      <x:c r="B65" s="7" t="str">
        <x:f>VLOOKUP(A65,'Tasks'!$A$2:$X$224,2,FALSE)</x:f>
        <x:v>Archive A1 demos and document endpoint braking</x:v>
      </x:c>
      <x:c r="C65" s="2" t="str">
        <x:f>VLOOKUP(A65,'Tasks'!$A$2:$X$224,9,FALSE)</x:f>
        <x:v>Zhaolin</x:v>
      </x:c>
      <x:c r="D65" s="13" t="n">
        <x:f>VLOOKUP(A65,'Tasks'!$A$2:$X$224,12,FALSE)</x:f>
        <x:v>46319</x:v>
      </x:c>
      <x:c r="E65" s="13" t="n">
        <x:f>VLOOKUP(A65,'Tasks'!$A$2:$X$224,13,FALSE)</x:f>
        <x:v>46319</x:v>
      </x:c>
      <x:c r="F65" s="2" t="str">
        <x:f>VLOOKUP(A65,'Tasks'!$A$2:$X$224,22,FALSE)</x:f>
        <x:v>Todo</x:v>
      </x:c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  <x:c r="AA65" s="2"/>
    </x:row>
    <x:row r="66" ht="34" customHeight="1">
      <x:c r="A66" s="2" t="str">
        <x:v>RV-08</x:v>
      </x:c>
      <x:c r="B66" s="7" t="str">
        <x:f>VLOOKUP(A66,'Tasks'!$A$2:$X$224,2,FALSE)</x:f>
        <x:v>Document sensor rig, segmentation tradeoff and lifecycle</x:v>
      </x:c>
      <x:c r="C66" s="2" t="str">
        <x:f>VLOOKUP(A66,'Tasks'!$A$2:$X$224,9,FALSE)</x:f>
        <x:v>Mohammad</x:v>
      </x:c>
      <x:c r="D66" s="13" t="n">
        <x:f>VLOOKUP(A66,'Tasks'!$A$2:$X$224,12,FALSE)</x:f>
        <x:v>46319</x:v>
      </x:c>
      <x:c r="E66" s="13" t="n">
        <x:f>VLOOKUP(A66,'Tasks'!$A$2:$X$224,13,FALSE)</x:f>
        <x:v>46319</x:v>
      </x:c>
      <x:c r="F66" s="2" t="str">
        <x:f>VLOOKUP(A66,'Tasks'!$A$2:$X$224,22,FALSE)</x:f>
        <x:v>Todo</x:v>
      </x:c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  <x:c r="AA66" s="2"/>
    </x:row>
    <x:row r="67" ht="34" customHeight="1">
      <x:c r="A67" s="2" t="str">
        <x:v>E1-01</x:v>
      </x:c>
      <x:c r="B67" s="7" t="str">
        <x:f>VLOOKUP(A67,'Tasks'!$A$2:$X$224,2,FALSE)</x:f>
        <x:v>Define three weather presets and robustness matrix</x:v>
      </x:c>
      <x:c r="C67" s="2" t="str">
        <x:f>VLOOKUP(A67,'Tasks'!$A$2:$X$224,9,FALSE)</x:f>
        <x:v>Alan</x:v>
      </x:c>
      <x:c r="D67" s="13" t="n">
        <x:f>VLOOKUP(A67,'Tasks'!$A$2:$X$224,12,FALSE)</x:f>
        <x:v>46313</x:v>
      </x:c>
      <x:c r="E67" s="13" t="n">
        <x:f>VLOOKUP(A67,'Tasks'!$A$2:$X$224,13,FALSE)</x:f>
        <x:v>46313</x:v>
      </x:c>
      <x:c r="F67" s="2" t="str">
        <x:f>VLOOKUP(A67,'Tasks'!$A$2:$X$224,22,FALSE)</x:f>
        <x:v>Todo</x:v>
      </x:c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  <x:c r="AA67" s="2"/>
    </x:row>
    <x:row r="68" ht="34" customHeight="1">
      <x:c r="A68" s="2" t="str">
        <x:v>E1-02</x:v>
      </x:c>
      <x:c r="B68" s="7" t="str">
        <x:f>VLOOKUP(A68,'Tasks'!$A$2:$X$224,2,FALSE)</x:f>
        <x:v>Verify weather presets and collect labelled stress frames</x:v>
      </x:c>
      <x:c r="C68" s="2" t="str">
        <x:f>VLOOKUP(A68,'Tasks'!$A$2:$X$224,9,FALSE)</x:f>
        <x:v>Alan</x:v>
      </x:c>
      <x:c r="D68" s="13" t="n">
        <x:f>VLOOKUP(A68,'Tasks'!$A$2:$X$224,12,FALSE)</x:f>
        <x:v>46315</x:v>
      </x:c>
      <x:c r="E68" s="13" t="n">
        <x:f>VLOOKUP(A68,'Tasks'!$A$2:$X$224,13,FALSE)</x:f>
        <x:v>46315</x:v>
      </x:c>
      <x:c r="F68" s="2" t="str">
        <x:f>VLOOKUP(A68,'Tasks'!$A$2:$X$224,22,FALSE)</x:f>
        <x:v>Todo</x:v>
      </x:c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  <x:c r="AA68" s="2"/>
    </x:row>
    <x:row r="69" ht="34" customHeight="1">
      <x:c r="A69" s="2" t="str">
        <x:v>E1-03</x:v>
      </x:c>
      <x:c r="B69" s="7" t="str">
        <x:f>VLOOKUP(A69,'Tasks'!$A$2:$X$224,2,FALSE)</x:f>
        <x:v>Measure detection range and recall across weather</x:v>
      </x:c>
      <x:c r="C69" s="2" t="str">
        <x:f>VLOOKUP(A69,'Tasks'!$A$2:$X$224,9,FALSE)</x:f>
        <x:v>Ricky</x:v>
      </x:c>
      <x:c r="D69" s="13" t="n">
        <x:f>VLOOKUP(A69,'Tasks'!$A$2:$X$224,12,FALSE)</x:f>
        <x:v>46319</x:v>
      </x:c>
      <x:c r="E69" s="13" t="n">
        <x:f>VLOOKUP(A69,'Tasks'!$A$2:$X$224,13,FALSE)</x:f>
        <x:v>46319</x:v>
      </x:c>
      <x:c r="F69" s="2" t="str">
        <x:f>VLOOKUP(A69,'Tasks'!$A$2:$X$224,22,FALSE)</x:f>
        <x:v>Todo</x:v>
      </x:c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  <x:c r="AA69" s="2"/>
    </x:row>
    <x:row r="70" ht="34" customHeight="1">
      <x:c r="A70" s="2" t="str">
        <x:v>E1-04</x:v>
      </x:c>
      <x:c r="B70" s="7" t="str">
        <x:f>VLOOKUP(A70,'Tasks'!$A$2:$X$224,2,FALSE)</x:f>
        <x:v>Run the 27-trial weather scenario matrix</x:v>
      </x:c>
      <x:c r="C70" s="2" t="str">
        <x:f>VLOOKUP(A70,'Tasks'!$A$2:$X$224,9,FALSE)</x:f>
        <x:v>Alan</x:v>
      </x:c>
      <x:c r="D70" s="13" t="n">
        <x:f>VLOOKUP(A70,'Tasks'!$A$2:$X$224,12,FALSE)</x:f>
        <x:v>46321</x:v>
      </x:c>
      <x:c r="E70" s="13" t="n">
        <x:f>VLOOKUP(A70,'Tasks'!$A$2:$X$224,13,FALSE)</x:f>
        <x:v>46321</x:v>
      </x:c>
      <x:c r="F70" s="2" t="str">
        <x:f>VLOOKUP(A70,'Tasks'!$A$2:$X$224,22,FALSE)</x:f>
        <x:v>Todo</x:v>
      </x:c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  <x:c r="AA70" s="2"/>
    </x:row>
    <x:row r="71" ht="34" customHeight="1">
      <x:c r="A71" s="2" t="str">
        <x:v>E1-05</x:v>
      </x:c>
      <x:c r="B71" s="7" t="str">
        <x:f>VLOOKUP(A71,'Tasks'!$A$2:$X$224,2,FALSE)</x:f>
        <x:v>Run full baseline regression with weather flag enabled</x:v>
      </x:c>
      <x:c r="C71" s="2" t="str">
        <x:f>VLOOKUP(A71,'Tasks'!$A$2:$X$224,9,FALSE)</x:f>
        <x:v>Alan</x:v>
      </x:c>
      <x:c r="D71" s="13" t="n">
        <x:f>VLOOKUP(A71,'Tasks'!$A$2:$X$224,12,FALSE)</x:f>
        <x:v>46322</x:v>
      </x:c>
      <x:c r="E71" s="13" t="n">
        <x:f>VLOOKUP(A71,'Tasks'!$A$2:$X$224,13,FALSE)</x:f>
        <x:v>46322</x:v>
      </x:c>
      <x:c r="F71" s="2" t="str">
        <x:f>VLOOKUP(A71,'Tasks'!$A$2:$X$224,22,FALSE)</x:f>
        <x:v>Todo</x:v>
      </x:c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  <x:c r="AA71" s="2"/>
    </x:row>
    <x:row r="72" ht="34" customHeight="1">
      <x:c r="A72" s="2" t="str">
        <x:v>E2-01</x:v>
      </x:c>
      <x:c r="B72" s="7" t="str">
        <x:f>VLOOKUP(A72,'Tasks'!$A$2:$X$224,2,FALSE)</x:f>
        <x:v>Specify LiDAR vehicle-frame data and obstacle source</x:v>
      </x:c>
      <x:c r="C72" s="2" t="str">
        <x:f>VLOOKUP(A72,'Tasks'!$A$2:$X$224,9,FALSE)</x:f>
        <x:v>Mohammad</x:v>
      </x:c>
      <x:c r="D72" s="13" t="n">
        <x:f>VLOOKUP(A72,'Tasks'!$A$2:$X$224,12,FALSE)</x:f>
        <x:v>46312</x:v>
      </x:c>
      <x:c r="E72" s="13" t="n">
        <x:f>VLOOKUP(A72,'Tasks'!$A$2:$X$224,13,FALSE)</x:f>
        <x:v>46312</x:v>
      </x:c>
      <x:c r="F72" s="2" t="str">
        <x:f>VLOOKUP(A72,'Tasks'!$A$2:$X$224,22,FALSE)</x:f>
        <x:v>Todo</x:v>
      </x:c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  <x:c r="AA72" s="2"/>
    </x:row>
    <x:row r="73" ht="34" customHeight="1">
      <x:c r="A73" s="2" t="str">
        <x:v>E2-02</x:v>
      </x:c>
      <x:c r="B73" s="7" t="str">
        <x:f>VLOOKUP(A73,'Tasks'!$A$2:$X$224,2,FALSE)</x:f>
        <x:v>Capture configured LiDAR and verify transforms</x:v>
      </x:c>
      <x:c r="C73" s="2" t="str">
        <x:f>VLOOKUP(A73,'Tasks'!$A$2:$X$224,9,FALSE)</x:f>
        <x:v>Mohammad</x:v>
      </x:c>
      <x:c r="D73" s="13" t="n">
        <x:f>VLOOKUP(A73,'Tasks'!$A$2:$X$224,12,FALSE)</x:f>
        <x:v>46313</x:v>
      </x:c>
      <x:c r="E73" s="13" t="n">
        <x:f>VLOOKUP(A73,'Tasks'!$A$2:$X$224,13,FALSE)</x:f>
        <x:v>46313</x:v>
      </x:c>
      <x:c r="F73" s="2" t="str">
        <x:f>VLOOKUP(A73,'Tasks'!$A$2:$X$224,22,FALSE)</x:f>
        <x:v>Todo</x:v>
      </x:c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</x:row>
    <x:row r="74" ht="34" customHeight="1">
      <x:c r="A74" s="2" t="str">
        <x:v>E2-03</x:v>
      </x:c>
      <x:c r="B74" s="7" t="str">
        <x:f>VLOOKUP(A74,'Tasks'!$A$2:$X$224,2,FALSE)</x:f>
        <x:v>Implement ground removal, corridor crop and clustering</x:v>
      </x:c>
      <x:c r="C74" s="2" t="str">
        <x:f>VLOOKUP(A74,'Tasks'!$A$2:$X$224,9,FALSE)</x:f>
        <x:v>Mohammad</x:v>
      </x:c>
      <x:c r="D74" s="13" t="n">
        <x:f>VLOOKUP(A74,'Tasks'!$A$2:$X$224,12,FALSE)</x:f>
        <x:v>46315</x:v>
      </x:c>
      <x:c r="E74" s="13" t="n">
        <x:f>VLOOKUP(A74,'Tasks'!$A$2:$X$224,13,FALSE)</x:f>
        <x:v>46315</x:v>
      </x:c>
      <x:c r="F74" s="2" t="str">
        <x:f>VLOOKUP(A74,'Tasks'!$A$2:$X$224,22,FALSE)</x:f>
        <x:v>Todo</x:v>
      </x:c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  <x:c r="AA74" s="2"/>
    </x:row>
    <x:row r="75" ht="34" customHeight="1">
      <x:c r="A75" s="2" t="str">
        <x:v>E2-04</x:v>
      </x:c>
      <x:c r="B75" s="7" t="str">
        <x:f>VLOOKUP(A75,'Tasks'!$A$2:$X$224,2,FALSE)</x:f>
        <x:v>Fuse confirmed LiDAR obstacles into common governor input</x:v>
      </x:c>
      <x:c r="C75" s="2" t="str">
        <x:f>VLOOKUP(A75,'Tasks'!$A$2:$X$224,9,FALSE)</x:f>
        <x:v>Mohammad</x:v>
      </x:c>
      <x:c r="D75" s="13" t="n">
        <x:f>VLOOKUP(A75,'Tasks'!$A$2:$X$224,12,FALSE)</x:f>
        <x:v>46316</x:v>
      </x:c>
      <x:c r="E75" s="13" t="n">
        <x:f>VLOOKUP(A75,'Tasks'!$A$2:$X$224,13,FALSE)</x:f>
        <x:v>46316</x:v>
      </x:c>
      <x:c r="F75" s="2" t="str">
        <x:f>VLOOKUP(A75,'Tasks'!$A$2:$X$224,22,FALSE)</x:f>
        <x:v>Todo</x:v>
      </x:c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  <x:c r="AA75" s="2"/>
    </x:row>
    <x:row r="76" ht="34" customHeight="1">
      <x:c r="A76" s="2" t="str">
        <x:v>E2-05</x:v>
      </x:c>
      <x:c r="B76" s="7" t="str">
        <x:f>VLOOKUP(A76,'Tasks'!$A$2:$X$224,2,FALSE)</x:f>
        <x:v>Demonstrate L1 and measure LiDAR versus depth range</x:v>
      </x:c>
      <x:c r="C76" s="2" t="str">
        <x:f>VLOOKUP(A76,'Tasks'!$A$2:$X$224,9,FALSE)</x:f>
        <x:v>Mohammad</x:v>
      </x:c>
      <x:c r="D76" s="13" t="n">
        <x:f>VLOOKUP(A76,'Tasks'!$A$2:$X$224,12,FALSE)</x:f>
        <x:v>46321</x:v>
      </x:c>
      <x:c r="E76" s="13" t="n">
        <x:f>VLOOKUP(A76,'Tasks'!$A$2:$X$224,13,FALSE)</x:f>
        <x:v>46321</x:v>
      </x:c>
      <x:c r="F76" s="2" t="str">
        <x:f>VLOOKUP(A76,'Tasks'!$A$2:$X$224,22,FALSE)</x:f>
        <x:v>Todo</x:v>
      </x:c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  <x:c r="AA76" s="2"/>
    </x:row>
    <x:row r="77" ht="34" customHeight="1">
      <x:c r="A77" s="2" t="str">
        <x:v>E2-06</x:v>
      </x:c>
      <x:c r="B77" s="7" t="str">
        <x:f>VLOOKUP(A77,'Tasks'!$A$2:$X$224,2,FALSE)</x:f>
        <x:v>Run full baseline regression with LiDAR enabled</x:v>
      </x:c>
      <x:c r="C77" s="2" t="str">
        <x:f>VLOOKUP(A77,'Tasks'!$A$2:$X$224,9,FALSE)</x:f>
        <x:v>Mohammad</x:v>
      </x:c>
      <x:c r="D77" s="13" t="n">
        <x:f>VLOOKUP(A77,'Tasks'!$A$2:$X$224,12,FALSE)</x:f>
        <x:v>46322</x:v>
      </x:c>
      <x:c r="E77" s="13" t="n">
        <x:f>VLOOKUP(A77,'Tasks'!$A$2:$X$224,13,FALSE)</x:f>
        <x:v>46322</x:v>
      </x:c>
      <x:c r="F77" s="2" t="str">
        <x:f>VLOOKUP(A77,'Tasks'!$A$2:$X$224,22,FALSE)</x:f>
        <x:v>Todo</x:v>
      </x:c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  <x:c r="AA77" s="2"/>
    </x:row>
    <x:row r="78" ht="34" customHeight="1">
      <x:c r="A78" s="2" t="str">
        <x:v>E3-01</x:v>
      </x:c>
      <x:c r="B78" s="7" t="str">
        <x:f>VLOOKUP(A78,'Tasks'!$A$2:$X$224,2,FALSE)</x:f>
        <x:v>Implement A-star on the exported lane graph</x:v>
      </x:c>
      <x:c r="C78" s="2" t="str">
        <x:f>VLOOKUP(A78,'Tasks'!$A$2:$X$224,9,FALSE)</x:f>
        <x:v>Abdullah</x:v>
      </x:c>
      <x:c r="D78" s="13" t="n">
        <x:f>VLOOKUP(A78,'Tasks'!$A$2:$X$224,12,FALSE)</x:f>
        <x:v>46312</x:v>
      </x:c>
      <x:c r="E78" s="13" t="n">
        <x:f>VLOOKUP(A78,'Tasks'!$A$2:$X$224,13,FALSE)</x:f>
        <x:v>46312</x:v>
      </x:c>
      <x:c r="F78" s="2" t="str">
        <x:f>VLOOKUP(A78,'Tasks'!$A$2:$X$224,22,FALSE)</x:f>
        <x:v>Todo</x:v>
      </x:c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  <x:c r="AA78" s="2"/>
    </x:row>
    <x:row r="79" ht="34" customHeight="1">
      <x:c r="A79" s="2" t="str">
        <x:v>E3-02</x:v>
      </x:c>
      <x:c r="B79" s="7" t="str">
        <x:f>VLOOKUP(A79,'Tasks'!$A$2:$X$224,2,FALSE)</x:f>
        <x:v>Connect named destinations to continuous route generation</x:v>
      </x:c>
      <x:c r="C79" s="2" t="str">
        <x:f>VLOOKUP(A79,'Tasks'!$A$2:$X$224,9,FALSE)</x:f>
        <x:v>Abdullah</x:v>
      </x:c>
      <x:c r="D79" s="13" t="n">
        <x:f>VLOOKUP(A79,'Tasks'!$A$2:$X$224,12,FALSE)</x:f>
        <x:v>46314</x:v>
      </x:c>
      <x:c r="E79" s="13" t="n">
        <x:f>VLOOKUP(A79,'Tasks'!$A$2:$X$224,13,FALSE)</x:f>
        <x:v>46314</x:v>
      </x:c>
      <x:c r="F79" s="2" t="str">
        <x:f>VLOOKUP(A79,'Tasks'!$A$2:$X$224,22,FALSE)</x:f>
        <x:v>Todo</x:v>
      </x:c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  <x:c r="AA79" s="2"/>
    </x:row>
    <x:row r="80" ht="34" customHeight="1">
      <x:c r="A80" s="2" t="str">
        <x:v>E3-03</x:v>
      </x:c>
      <x:c r="B80" s="7" t="str">
        <x:f>VLOOKUP(A80,'Tasks'!$A$2:$X$224,2,FALSE)</x:f>
        <x:v>Add route mini-map, maneuver distance and ETA</x:v>
      </x:c>
      <x:c r="C80" s="2" t="str">
        <x:f>VLOOKUP(A80,'Tasks'!$A$2:$X$224,9,FALSE)</x:f>
        <x:v>Abdullah</x:v>
      </x:c>
      <x:c r="D80" s="13" t="n">
        <x:f>VLOOKUP(A80,'Tasks'!$A$2:$X$224,12,FALSE)</x:f>
        <x:v>46316</x:v>
      </x:c>
      <x:c r="E80" s="13" t="n">
        <x:f>VLOOKUP(A80,'Tasks'!$A$2:$X$224,13,FALSE)</x:f>
        <x:v>46316</x:v>
      </x:c>
      <x:c r="F80" s="2" t="str">
        <x:f>VLOOKUP(A80,'Tasks'!$A$2:$X$224,22,FALSE)</x:f>
        <x:v>Todo</x:v>
      </x:c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  <x:c r="AA80" s="2"/>
    </x:row>
    <x:row r="81" ht="34" customHeight="1">
      <x:c r="A81" s="2" t="str">
        <x:v>E3-04</x:v>
      </x:c>
      <x:c r="B81" s="7" t="str">
        <x:f>VLOOKUP(A81,'Tasks'!$A$2:$X$224,2,FALSE)</x:f>
        <x:v>Run five WF1 destination pairs and route-length comparison</x:v>
      </x:c>
      <x:c r="C81" s="2" t="str">
        <x:f>VLOOKUP(A81,'Tasks'!$A$2:$X$224,9,FALSE)</x:f>
        <x:v>Abdullah</x:v>
      </x:c>
      <x:c r="D81" s="13" t="n">
        <x:f>VLOOKUP(A81,'Tasks'!$A$2:$X$224,12,FALSE)</x:f>
        <x:v>46321</x:v>
      </x:c>
      <x:c r="E81" s="13" t="n">
        <x:f>VLOOKUP(A81,'Tasks'!$A$2:$X$224,13,FALSE)</x:f>
        <x:v>46321</x:v>
      </x:c>
      <x:c r="F81" s="2" t="str">
        <x:f>VLOOKUP(A81,'Tasks'!$A$2:$X$224,22,FALSE)</x:f>
        <x:v>Todo</x:v>
      </x:c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  <x:c r="AA81" s="2"/>
    </x:row>
    <x:row r="82" ht="34" customHeight="1">
      <x:c r="A82" s="2" t="str">
        <x:v>E3-05</x:v>
      </x:c>
      <x:c r="B82" s="7" t="str">
        <x:f>VLOOKUP(A82,'Tasks'!$A$2:$X$224,2,FALSE)</x:f>
        <x:v>Run full baseline regression with Wayfinder enabled</x:v>
      </x:c>
      <x:c r="C82" s="2" t="str">
        <x:f>VLOOKUP(A82,'Tasks'!$A$2:$X$224,9,FALSE)</x:f>
        <x:v>Abdullah</x:v>
      </x:c>
      <x:c r="D82" s="13" t="n">
        <x:f>VLOOKUP(A82,'Tasks'!$A$2:$X$224,12,FALSE)</x:f>
        <x:v>46322</x:v>
      </x:c>
      <x:c r="E82" s="13" t="n">
        <x:f>VLOOKUP(A82,'Tasks'!$A$2:$X$224,13,FALSE)</x:f>
        <x:v>46322</x:v>
      </x:c>
      <x:c r="F82" s="2" t="str">
        <x:f>VLOOKUP(A82,'Tasks'!$A$2:$X$224,22,FALSE)</x:f>
        <x:v>Todo</x:v>
      </x:c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  <x:c r="AA82" s="2"/>
    </x:row>
    <x:row r="83" ht="34" customHeight="1">
      <x:c r="A83" s="2" t="str">
        <x:v>E3-06</x:v>
      </x:c>
      <x:c r="B83" s="7" t="str">
        <x:f>VLOOKUP(A83,'Tasks'!$A$2:$X$224,2,FALSE)</x:f>
        <x:v>Decide lane-changing and blocked-edge rerouting scope</x:v>
      </x:c>
      <x:c r="C83" s="2" t="str">
        <x:f>VLOOKUP(A83,'Tasks'!$A$2:$X$224,9,FALSE)</x:f>
        <x:v>Abdullah</x:v>
      </x:c>
      <x:c r="D83" s="13" t="n">
        <x:f>VLOOKUP(A83,'Tasks'!$A$2:$X$224,12,FALSE)</x:f>
        <x:v>46323</x:v>
      </x:c>
      <x:c r="E83" s="13" t="n">
        <x:f>VLOOKUP(A83,'Tasks'!$A$2:$X$224,13,FALSE)</x:f>
        <x:v>46323</x:v>
      </x:c>
      <x:c r="F83" s="2" t="str">
        <x:f>VLOOKUP(A83,'Tasks'!$A$2:$X$224,22,FALSE)</x:f>
        <x:v>Todo</x:v>
      </x:c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</x:row>
    <x:row r="84" ht="34" customHeight="1">
      <x:c r="A84" s="2" t="str">
        <x:v>E4-01</x:v>
      </x:c>
      <x:c r="B84" s="7" t="str">
        <x:f>VLOOKUP(A84,'Tasks'!$A$2:$X$224,2,FALSE)</x:f>
        <x:v>Specify remote protocol, sessions and timestamp domains</x:v>
      </x:c>
      <x:c r="C84" s="2" t="str">
        <x:f>VLOOKUP(A84,'Tasks'!$A$2:$X$224,9,FALSE)</x:f>
        <x:v>Ricky</x:v>
      </x:c>
      <x:c r="D84" s="13" t="n">
        <x:f>VLOOKUP(A84,'Tasks'!$A$2:$X$224,12,FALSE)</x:f>
        <x:v>46312</x:v>
      </x:c>
      <x:c r="E84" s="13" t="n">
        <x:f>VLOOKUP(A84,'Tasks'!$A$2:$X$224,13,FALSE)</x:f>
        <x:v>46312</x:v>
      </x:c>
      <x:c r="F84" s="2" t="str">
        <x:f>VLOOKUP(A84,'Tasks'!$A$2:$X$224,22,FALSE)</x:f>
        <x:v>Todo</x:v>
      </x:c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</x:row>
    <x:row r="85" ht="34" customHeight="1">
      <x:c r="A85" s="2" t="str">
        <x:v>E4-02</x:v>
      </x:c>
      <x:c r="B85" s="7" t="str">
        <x:f>VLOOKUP(A85,'Tasks'!$A$2:$X$224,2,FALSE)</x:f>
        <x:v>Build inference server with isolated tracker sessions</x:v>
      </x:c>
      <x:c r="C85" s="2" t="str">
        <x:f>VLOOKUP(A85,'Tasks'!$A$2:$X$224,9,FALSE)</x:f>
        <x:v>Ricky</x:v>
      </x:c>
      <x:c r="D85" s="13" t="n">
        <x:f>VLOOKUP(A85,'Tasks'!$A$2:$X$224,12,FALSE)</x:f>
        <x:v>46313</x:v>
      </x:c>
      <x:c r="E85" s="13" t="n">
        <x:f>VLOOKUP(A85,'Tasks'!$A$2:$X$224,13,FALSE)</x:f>
        <x:v>46313</x:v>
      </x:c>
      <x:c r="F85" s="2" t="str">
        <x:f>VLOOKUP(A85,'Tasks'!$A$2:$X$224,22,FALSE)</x:f>
        <x:v>Todo</x:v>
      </x:c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</x:row>
    <x:row r="86" ht="34" customHeight="1">
      <x:c r="A86" s="2" t="str">
        <x:v>E4-03</x:v>
      </x:c>
      <x:c r="B86" s="7" t="str">
        <x:f>VLOOKUP(A86,'Tasks'!$A$2:$X$224,2,FALSE)</x:f>
        <x:v>Package offline Docker service and model assets</x:v>
      </x:c>
      <x:c r="C86" s="2" t="str">
        <x:f>VLOOKUP(A86,'Tasks'!$A$2:$X$224,9,FALSE)</x:f>
        <x:v>Ricky</x:v>
      </x:c>
      <x:c r="D86" s="13" t="n">
        <x:f>VLOOKUP(A86,'Tasks'!$A$2:$X$224,12,FALSE)</x:f>
        <x:v>46314</x:v>
      </x:c>
      <x:c r="E86" s="13" t="n">
        <x:f>VLOOKUP(A86,'Tasks'!$A$2:$X$224,13,FALSE)</x:f>
        <x:v>46314</x:v>
      </x:c>
      <x:c r="F86" s="2" t="str">
        <x:f>VLOOKUP(A86,'Tasks'!$A$2:$X$224,22,FALSE)</x:f>
        <x:v>Todo</x:v>
      </x:c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  <x:c r="AA86" s="2"/>
    </x:row>
    <x:row r="87" ht="34" customHeight="1">
      <x:c r="A87" s="2" t="str">
        <x:v>E4-04</x:v>
      </x:c>
      <x:c r="B87" s="7" t="str">
        <x:f>VLOOKUP(A87,'Tasks'!$A$2:$X$224,2,FALSE)</x:f>
        <x:v>Implement nonblocking RemoteDetector and JPEG client</x:v>
      </x:c>
      <x:c r="C87" s="2" t="str">
        <x:f>VLOOKUP(A87,'Tasks'!$A$2:$X$224,9,FALSE)</x:f>
        <x:v>Saviour</x:v>
      </x:c>
      <x:c r="D87" s="13" t="n">
        <x:f>VLOOKUP(A87,'Tasks'!$A$2:$X$224,12,FALSE)</x:f>
        <x:v>46313</x:v>
      </x:c>
      <x:c r="E87" s="13" t="n">
        <x:f>VLOOKUP(A87,'Tasks'!$A$2:$X$224,13,FALSE)</x:f>
        <x:v>46313</x:v>
      </x:c>
      <x:c r="F87" s="2" t="str">
        <x:f>VLOOKUP(A87,'Tasks'!$A$2:$X$224,22,FALSE)</x:f>
        <x:v>Todo</x:v>
      </x:c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  <x:c r="AA87" s="2"/>
    </x:row>
    <x:row r="88" ht="34" customHeight="1">
      <x:c r="A88" s="2" t="str">
        <x:v>E4-05</x:v>
      </x:c>
      <x:c r="B88" s="7" t="str">
        <x:f>VLOOKUP(A88,'Tasks'!$A$2:$X$224,2,FALSE)</x:f>
        <x:v>Implement concurrent local fallback and recovery policy</x:v>
      </x:c>
      <x:c r="C88" s="2" t="str">
        <x:f>VLOOKUP(A88,'Tasks'!$A$2:$X$224,9,FALSE)</x:f>
        <x:v>Saviour</x:v>
      </x:c>
      <x:c r="D88" s="13" t="n">
        <x:f>VLOOKUP(A88,'Tasks'!$A$2:$X$224,12,FALSE)</x:f>
        <x:v>46314</x:v>
      </x:c>
      <x:c r="E88" s="13" t="n">
        <x:f>VLOOKUP(A88,'Tasks'!$A$2:$X$224,13,FALSE)</x:f>
        <x:v>46314</x:v>
      </x:c>
      <x:c r="F88" s="2" t="str">
        <x:f>VLOOKUP(A88,'Tasks'!$A$2:$X$224,22,FALSE)</x:f>
        <x:v>Todo</x:v>
      </x:c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  <x:c r="AA88" s="2"/>
    </x:row>
    <x:row r="89" ht="34" customHeight="1">
      <x:c r="A89" s="2" t="str">
        <x:v>E4-06</x:v>
      </x:c>
      <x:c r="B89" s="7" t="str">
        <x:f>VLOOKUP(A89,'Tasks'!$A$2:$X$224,2,FALSE)</x:f>
        <x:v>Test server-client sessions and tracker source switching</x:v>
      </x:c>
      <x:c r="C89" s="2" t="str">
        <x:f>VLOOKUP(A89,'Tasks'!$A$2:$X$224,9,FALSE)</x:f>
        <x:v>Ricky</x:v>
      </x:c>
      <x:c r="D89" s="13" t="n">
        <x:f>VLOOKUP(A89,'Tasks'!$A$2:$X$224,12,FALSE)</x:f>
        <x:v>46315</x:v>
      </x:c>
      <x:c r="E89" s="13" t="n">
        <x:f>VLOOKUP(A89,'Tasks'!$A$2:$X$224,13,FALSE)</x:f>
        <x:v>46315</x:v>
      </x:c>
      <x:c r="F89" s="2" t="str">
        <x:f>VLOOKUP(A89,'Tasks'!$A$2:$X$224,22,FALSE)</x:f>
        <x:v>Todo</x:v>
      </x:c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  <x:c r="AA89" s="2"/>
    </x:row>
    <x:row r="90" ht="34" customHeight="1">
      <x:c r="A90" s="2" t="str">
        <x:v>E4-07</x:v>
      </x:c>
      <x:c r="B90" s="7" t="str">
        <x:f>VLOOKUP(A90,'Tasks'!$A$2:$X$224,2,FALSE)</x:f>
        <x:v>Build latency sweep and breakdown script</x:v>
      </x:c>
      <x:c r="C90" s="2" t="str">
        <x:f>VLOOKUP(A90,'Tasks'!$A$2:$X$224,9,FALSE)</x:f>
        <x:v>Saviour</x:v>
      </x:c>
      <x:c r="D90" s="13" t="n">
        <x:f>VLOOKUP(A90,'Tasks'!$A$2:$X$224,12,FALSE)</x:f>
        <x:v>46316</x:v>
      </x:c>
      <x:c r="E90" s="13" t="n">
        <x:f>VLOOKUP(A90,'Tasks'!$A$2:$X$224,13,FALSE)</x:f>
        <x:v>46316</x:v>
      </x:c>
      <x:c r="F90" s="2" t="str">
        <x:f>VLOOKUP(A90,'Tasks'!$A$2:$X$224,22,FALSE)</x:f>
        <x:v>Todo</x:v>
      </x:c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  <x:c r="AA90" s="2"/>
    </x:row>
    <x:row r="91" ht="34" customHeight="1">
      <x:c r="A91" s="2" t="str">
        <x:v>E4-08</x:v>
      </x:c>
      <x:c r="B91" s="7" t="str">
        <x:f>VLOOKUP(A91,'Tasks'!$A$2:$X$224,2,FALSE)</x:f>
        <x:v>Prepare optional cloud deployment and reproduce local server</x:v>
      </x:c>
      <x:c r="C91" s="2" t="str">
        <x:f>VLOOKUP(A91,'Tasks'!$A$2:$X$224,9,FALSE)</x:f>
        <x:v>Ricky</x:v>
      </x:c>
      <x:c r="D91" s="13" t="n">
        <x:f>VLOOKUP(A91,'Tasks'!$A$2:$X$224,12,FALSE)</x:f>
        <x:v>46318</x:v>
      </x:c>
      <x:c r="E91" s="13" t="n">
        <x:f>VLOOKUP(A91,'Tasks'!$A$2:$X$224,13,FALSE)</x:f>
        <x:v>46318</x:v>
      </x:c>
      <x:c r="F91" s="2" t="str">
        <x:f>VLOOKUP(A91,'Tasks'!$A$2:$X$224,22,FALSE)</x:f>
        <x:v>Todo</x:v>
      </x:c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  <x:c r="AA91" s="2"/>
    </x:row>
    <x:row r="92" ht="34" customHeight="1">
      <x:c r="A92" s="2" t="str">
        <x:v>E4-09</x:v>
      </x:c>
      <x:c r="B92" s="7" t="str">
        <x:f>VLOOKUP(A92,'Tasks'!$A$2:$X$224,2,FALSE)</x:f>
        <x:v>Compare local, LAN and available cloud inference</x:v>
      </x:c>
      <x:c r="C92" s="2" t="str">
        <x:f>VLOOKUP(A92,'Tasks'!$A$2:$X$224,9,FALSE)</x:f>
        <x:v>Saviour</x:v>
      </x:c>
      <x:c r="D92" s="13" t="n">
        <x:f>VLOOKUP(A92,'Tasks'!$A$2:$X$224,12,FALSE)</x:f>
        <x:v>46319</x:v>
      </x:c>
      <x:c r="E92" s="13" t="n">
        <x:f>VLOOKUP(A92,'Tasks'!$A$2:$X$224,13,FALSE)</x:f>
        <x:v>46319</x:v>
      </x:c>
      <x:c r="F92" s="2" t="str">
        <x:f>VLOOKUP(A92,'Tasks'!$A$2:$X$224,22,FALSE)</x:f>
        <x:v>Todo</x:v>
      </x:c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  <x:c r="AA92" s="2"/>
    </x:row>
    <x:row r="93" ht="34" customHeight="1">
      <x:c r="A93" s="2" t="str">
        <x:v>E4-10</x:v>
      </x:c>
      <x:c r="B93" s="7" t="str">
        <x:f>VLOOKUP(A93,'Tasks'!$A$2:$X$224,2,FALSE)</x:f>
        <x:v>Verify cloud outage, restart and session cleanup offline</x:v>
      </x:c>
      <x:c r="C93" s="2" t="str">
        <x:f>VLOOKUP(A93,'Tasks'!$A$2:$X$224,9,FALSE)</x:f>
        <x:v>Ricky</x:v>
      </x:c>
      <x:c r="D93" s="13" t="n">
        <x:f>VLOOKUP(A93,'Tasks'!$A$2:$X$224,12,FALSE)</x:f>
        <x:v>46321</x:v>
      </x:c>
      <x:c r="E93" s="13" t="n">
        <x:f>VLOOKUP(A93,'Tasks'!$A$2:$X$224,13,FALSE)</x:f>
        <x:v>46321</x:v>
      </x:c>
      <x:c r="F93" s="2" t="str">
        <x:f>VLOOKUP(A93,'Tasks'!$A$2:$X$224,22,FALSE)</x:f>
        <x:v>Todo</x:v>
      </x:c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</x:row>
    <x:row r="94" ht="34" customHeight="1">
      <x:c r="A94" s="2" t="str">
        <x:v>E4-11</x:v>
      </x:c>
      <x:c r="B94" s="7" t="str">
        <x:f>VLOOKUP(A94,'Tasks'!$A$2:$X$224,2,FALSE)</x:f>
        <x:v>Run CARLA cloud failover on demo-class hardware</x:v>
      </x:c>
      <x:c r="C94" s="2" t="str">
        <x:f>VLOOKUP(A94,'Tasks'!$A$2:$X$224,9,FALSE)</x:f>
        <x:v>Zhaolin</x:v>
      </x:c>
      <x:c r="D94" s="13" t="n">
        <x:f>VLOOKUP(A94,'Tasks'!$A$2:$X$224,12,FALSE)</x:f>
        <x:v>46321</x:v>
      </x:c>
      <x:c r="E94" s="13" t="n">
        <x:f>VLOOKUP(A94,'Tasks'!$A$2:$X$224,13,FALSE)</x:f>
        <x:v>46321</x:v>
      </x:c>
      <x:c r="F94" s="2" t="str">
        <x:f>VLOOKUP(A94,'Tasks'!$A$2:$X$224,22,FALSE)</x:f>
        <x:v>Todo</x:v>
      </x:c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</x:row>
    <x:row r="95" ht="34" customHeight="1">
      <x:c r="A95" s="2" t="str">
        <x:v>E4-12</x:v>
      </x:c>
      <x:c r="B95" s="7" t="str">
        <x:f>VLOOKUP(A95,'Tasks'!$A$2:$X$224,2,FALSE)</x:f>
        <x:v>Run full baseline regression with hybrid flag enabled</x:v>
      </x:c>
      <x:c r="C95" s="2" t="str">
        <x:f>VLOOKUP(A95,'Tasks'!$A$2:$X$224,9,FALSE)</x:f>
        <x:v>Alan</x:v>
      </x:c>
      <x:c r="D95" s="13" t="n">
        <x:f>VLOOKUP(A95,'Tasks'!$A$2:$X$224,12,FALSE)</x:f>
        <x:v>46322</x:v>
      </x:c>
      <x:c r="E95" s="13" t="n">
        <x:f>VLOOKUP(A95,'Tasks'!$A$2:$X$224,13,FALSE)</x:f>
        <x:v>46322</x:v>
      </x:c>
      <x:c r="F95" s="2" t="str">
        <x:f>VLOOKUP(A95,'Tasks'!$A$2:$X$224,22,FALSE)</x:f>
        <x:v>Todo</x:v>
      </x:c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</x:row>
    <x:row r="96" ht="34" customHeight="1">
      <x:c r="A96" s="2" t="str">
        <x:v>E4-13</x:v>
      </x:c>
      <x:c r="B96" s="7" t="str">
        <x:f>VLOOKUP(A96,'Tasks'!$A$2:$X$224,2,FALSE)</x:f>
        <x:v>Decide whether to add a remote Wayfinder endpoint</x:v>
      </x:c>
      <x:c r="C96" s="2" t="str">
        <x:f>VLOOKUP(A96,'Tasks'!$A$2:$X$224,9,FALSE)</x:f>
        <x:v>Ricky</x:v>
      </x:c>
      <x:c r="D96" s="13" t="n">
        <x:f>VLOOKUP(A96,'Tasks'!$A$2:$X$224,12,FALSE)</x:f>
        <x:v>46323</x:v>
      </x:c>
      <x:c r="E96" s="13" t="n">
        <x:f>VLOOKUP(A96,'Tasks'!$A$2:$X$224,13,FALSE)</x:f>
        <x:v>46323</x:v>
      </x:c>
      <x:c r="F96" s="2" t="str">
        <x:f>VLOOKUP(A96,'Tasks'!$A$2:$X$224,22,FALSE)</x:f>
        <x:v>Todo</x:v>
      </x:c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</x:row>
    <x:row r="97" ht="34" customHeight="1">
      <x:c r="A97" s="2" t="str">
        <x:v>E5-01</x:v>
      </x:c>
      <x:c r="B97" s="7" t="str">
        <x:f>VLOOKUP(A97,'Tasks'!$A$2:$X$224,2,FALSE)</x:f>
        <x:v>Specify forward parking goal and signed motion hook</x:v>
      </x:c>
      <x:c r="C97" s="2" t="str">
        <x:f>VLOOKUP(A97,'Tasks'!$A$2:$X$224,9,FALSE)</x:f>
        <x:v>Zhaolin</x:v>
      </x:c>
      <x:c r="D97" s="13" t="n">
        <x:f>VLOOKUP(A97,'Tasks'!$A$2:$X$224,12,FALSE)</x:f>
        <x:v>46312</x:v>
      </x:c>
      <x:c r="E97" s="13" t="n">
        <x:f>VLOOKUP(A97,'Tasks'!$A$2:$X$224,13,FALSE)</x:f>
        <x:v>46312</x:v>
      </x:c>
      <x:c r="F97" s="2" t="str">
        <x:f>VLOOKUP(A97,'Tasks'!$A$2:$X$224,22,FALSE)</x:f>
        <x:v>Todo</x:v>
      </x:c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</x:row>
    <x:row r="98" ht="34" customHeight="1">
      <x:c r="A98" s="2" t="str">
        <x:v>E5-02</x:v>
      </x:c>
      <x:c r="B98" s="7" t="str">
        <x:f>VLOOKUP(A98,'Tasks'!$A$2:$X$224,2,FALSE)</x:f>
        <x:v>Implement smooth forward bay approach in harness</x:v>
      </x:c>
      <x:c r="C98" s="2" t="str">
        <x:f>VLOOKUP(A98,'Tasks'!$A$2:$X$224,9,FALSE)</x:f>
        <x:v>Zhaolin</x:v>
      </x:c>
      <x:c r="D98" s="13" t="n">
        <x:f>VLOOKUP(A98,'Tasks'!$A$2:$X$224,12,FALSE)</x:f>
        <x:v>46313</x:v>
      </x:c>
      <x:c r="E98" s="13" t="n">
        <x:f>VLOOKUP(A98,'Tasks'!$A$2:$X$224,13,FALSE)</x:f>
        <x:v>46313</x:v>
      </x:c>
      <x:c r="F98" s="2" t="str">
        <x:f>VLOOKUP(A98,'Tasks'!$A$2:$X$224,22,FALSE)</x:f>
        <x:v>Todo</x:v>
      </x:c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</x:row>
    <x:row r="99" ht="34" customHeight="1">
      <x:c r="A99" s="2" t="str">
        <x:v>E5-03</x:v>
      </x:c>
      <x:c r="B99" s="7" t="str">
        <x:f>VLOOKUP(A99,'Tasks'!$A$2:$X$224,2,FALSE)</x:f>
        <x:v>Add parking clearance, final stop and state handover</x:v>
      </x:c>
      <x:c r="C99" s="2" t="str">
        <x:f>VLOOKUP(A99,'Tasks'!$A$2:$X$224,9,FALSE)</x:f>
        <x:v>Zhaolin</x:v>
      </x:c>
      <x:c r="D99" s="13" t="n">
        <x:f>VLOOKUP(A99,'Tasks'!$A$2:$X$224,12,FALSE)</x:f>
        <x:v>46314</x:v>
      </x:c>
      <x:c r="E99" s="13" t="n">
        <x:f>VLOOKUP(A99,'Tasks'!$A$2:$X$224,13,FALSE)</x:f>
        <x:v>46314</x:v>
      </x:c>
      <x:c r="F99" s="2" t="str">
        <x:f>VLOOKUP(A99,'Tasks'!$A$2:$X$224,22,FALSE)</x:f>
        <x:v>Todo</x:v>
      </x:c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</x:row>
    <x:row r="100" ht="34" customHeight="1">
      <x:c r="A100" s="2" t="str">
        <x:v>E5-04</x:v>
      </x:c>
      <x:c r="B100" s="7" t="str">
        <x:f>VLOOKUP(A100,'Tasks'!$A$2:$X$224,2,FALSE)</x:f>
        <x:v>Implement reverse two-arc parking prototype in harness</x:v>
      </x:c>
      <x:c r="C100" s="2" t="str">
        <x:f>VLOOKUP(A100,'Tasks'!$A$2:$X$224,9,FALSE)</x:f>
        <x:v>Zhaolin</x:v>
      </x:c>
      <x:c r="D100" s="13" t="n">
        <x:f>VLOOKUP(A100,'Tasks'!$A$2:$X$224,12,FALSE)</x:f>
        <x:v>46316</x:v>
      </x:c>
      <x:c r="E100" s="13" t="n">
        <x:f>VLOOKUP(A100,'Tasks'!$A$2:$X$224,13,FALSE)</x:f>
        <x:v>46316</x:v>
      </x:c>
      <x:c r="F100" s="2" t="str">
        <x:f>VLOOKUP(A100,'Tasks'!$A$2:$X$224,22,FALSE)</x:f>
        <x:v>Todo</x:v>
      </x:c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</x:row>
    <x:row r="101" ht="34" customHeight="1">
      <x:c r="A101" s="2" t="str">
        <x:v>E5-05</x:v>
      </x:c>
      <x:c r="B101" s="7" t="str">
        <x:f>VLOOKUP(A101,'Tasks'!$A$2:$X$224,2,FALSE)</x:f>
        <x:v>Verify reverse gear hook and low-speed adapter signs</x:v>
      </x:c>
      <x:c r="C101" s="2" t="str">
        <x:f>VLOOKUP(A101,'Tasks'!$A$2:$X$224,9,FALSE)</x:f>
        <x:v>Zhaolin</x:v>
      </x:c>
      <x:c r="D101" s="13" t="n">
        <x:f>VLOOKUP(A101,'Tasks'!$A$2:$X$224,12,FALSE)</x:f>
        <x:v>46317</x:v>
      </x:c>
      <x:c r="E101" s="13" t="n">
        <x:f>VLOOKUP(A101,'Tasks'!$A$2:$X$224,13,FALSE)</x:f>
        <x:v>46317</x:v>
      </x:c>
      <x:c r="F101" s="2" t="str">
        <x:f>VLOOKUP(A101,'Tasks'!$A$2:$X$224,22,FALSE)</x:f>
        <x:v>Todo</x:v>
      </x:c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</x:row>
    <x:row r="102" ht="34" customHeight="1">
      <x:c r="A102" s="2" t="str">
        <x:v>E5-06</x:v>
      </x:c>
      <x:c r="B102" s="7" t="str">
        <x:f>VLOOKUP(A102,'Tasks'!$A$2:$X$224,2,FALSE)</x:f>
        <x:v>Run five P1 forward parking trials and blocked-bay test</x:v>
      </x:c>
      <x:c r="C102" s="2" t="str">
        <x:f>VLOOKUP(A102,'Tasks'!$A$2:$X$224,9,FALSE)</x:f>
        <x:v>Zhaolin</x:v>
      </x:c>
      <x:c r="D102" s="13" t="n">
        <x:f>VLOOKUP(A102,'Tasks'!$A$2:$X$224,12,FALSE)</x:f>
        <x:v>46321</x:v>
      </x:c>
      <x:c r="E102" s="13" t="n">
        <x:f>VLOOKUP(A102,'Tasks'!$A$2:$X$224,13,FALSE)</x:f>
        <x:v>46321</x:v>
      </x:c>
      <x:c r="F102" s="2" t="str">
        <x:f>VLOOKUP(A102,'Tasks'!$A$2:$X$224,22,FALSE)</x:f>
        <x:v>Todo</x:v>
      </x:c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</x:row>
    <x:row r="103" ht="34" customHeight="1">
      <x:c r="A103" s="2" t="str">
        <x:v>E5-07</x:v>
      </x:c>
      <x:c r="B103" s="7" t="str">
        <x:f>VLOOKUP(A103,'Tasks'!$A$2:$X$224,2,FALSE)</x:f>
        <x:v>Run full baseline regression with parking flag enabled</x:v>
      </x:c>
      <x:c r="C103" s="2" t="str">
        <x:f>VLOOKUP(A103,'Tasks'!$A$2:$X$224,9,FALSE)</x:f>
        <x:v>Zhaolin</x:v>
      </x:c>
      <x:c r="D103" s="13" t="n">
        <x:f>VLOOKUP(A103,'Tasks'!$A$2:$X$224,12,FALSE)</x:f>
        <x:v>46322</x:v>
      </x:c>
      <x:c r="E103" s="13" t="n">
        <x:f>VLOOKUP(A103,'Tasks'!$A$2:$X$224,13,FALSE)</x:f>
        <x:v>46322</x:v>
      </x:c>
      <x:c r="F103" s="2" t="str">
        <x:f>VLOOKUP(A103,'Tasks'!$A$2:$X$224,22,FALSE)</x:f>
        <x:v>Todo</x:v>
      </x:c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</x:row>
    <x:row r="104" ht="34" customHeight="1">
      <x:c r="A104" s="2" t="str">
        <x:v>E5-08</x:v>
      </x:c>
      <x:c r="B104" s="7" t="str">
        <x:f>VLOOKUP(A104,'Tasks'!$A$2:$X$224,2,FALSE)</x:f>
        <x:v>Evaluate P2 reverse parking or record the cut</x:v>
      </x:c>
      <x:c r="C104" s="2" t="str">
        <x:f>VLOOKUP(A104,'Tasks'!$A$2:$X$224,9,FALSE)</x:f>
        <x:v>Zhaolin</x:v>
      </x:c>
      <x:c r="D104" s="13" t="n">
        <x:f>VLOOKUP(A104,'Tasks'!$A$2:$X$224,12,FALSE)</x:f>
        <x:v>46322</x:v>
      </x:c>
      <x:c r="E104" s="13" t="n">
        <x:f>VLOOKUP(A104,'Tasks'!$A$2:$X$224,13,FALSE)</x:f>
        <x:v>46322</x:v>
      </x:c>
      <x:c r="F104" s="2" t="str">
        <x:f>VLOOKUP(A104,'Tasks'!$A$2:$X$224,22,FALSE)</x:f>
        <x:v>Todo</x:v>
      </x:c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</x:row>
    <x:row r="105" ht="34" customHeight="1">
      <x:c r="A105" s="2" t="str">
        <x:v>DOC-01</x:v>
      </x:c>
      <x:c r="B105" s="7" t="str">
        <x:f>VLOOKUP(A105,'Tasks'!$A$2:$X$224,2,FALSE)</x:f>
        <x:v>Create report outline and evidence index</x:v>
      </x:c>
      <x:c r="C105" s="2" t="str">
        <x:f>VLOOKUP(A105,'Tasks'!$A$2:$X$224,9,FALSE)</x:f>
        <x:v>Saviour</x:v>
      </x:c>
      <x:c r="D105" s="13" t="n">
        <x:f>VLOOKUP(A105,'Tasks'!$A$2:$X$224,12,FALSE)</x:f>
        <x:v>46310</x:v>
      </x:c>
      <x:c r="E105" s="13" t="n">
        <x:f>VLOOKUP(A105,'Tasks'!$A$2:$X$224,13,FALSE)</x:f>
        <x:v>46310</x:v>
      </x:c>
      <x:c r="F105" s="2" t="str">
        <x:f>VLOOKUP(A105,'Tasks'!$A$2:$X$224,22,FALSE)</x:f>
        <x:v>Todo</x:v>
      </x:c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</x:row>
    <x:row r="106" ht="34" customHeight="1">
      <x:c r="A106" s="2" t="str">
        <x:v>DOC-02</x:v>
      </x:c>
      <x:c r="B106" s="7" t="str">
        <x:f>VLOOKUP(A106,'Tasks'!$A$2:$X$224,2,FALSE)</x:f>
        <x:v>Draft scope and A1 reuse sections with cited changes</x:v>
      </x:c>
      <x:c r="C106" s="2" t="str">
        <x:f>VLOOKUP(A106,'Tasks'!$A$2:$X$224,9,FALSE)</x:f>
        <x:v>Ricky</x:v>
      </x:c>
      <x:c r="D106" s="13" t="n">
        <x:f>VLOOKUP(A106,'Tasks'!$A$2:$X$224,12,FALSE)</x:f>
        <x:v>46315</x:v>
      </x:c>
      <x:c r="E106" s="13" t="n">
        <x:f>VLOOKUP(A106,'Tasks'!$A$2:$X$224,13,FALSE)</x:f>
        <x:v>46315</x:v>
      </x:c>
      <x:c r="F106" s="2" t="str">
        <x:f>VLOOKUP(A106,'Tasks'!$A$2:$X$224,22,FALSE)</x:f>
        <x:v>Todo</x:v>
      </x:c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</x:row>
    <x:row r="107" ht="34" customHeight="1">
      <x:c r="A107" s="2" t="str">
        <x:v>DOC-03</x:v>
      </x:c>
      <x:c r="B107" s="7" t="str">
        <x:f>VLOOKUP(A107,'Tasks'!$A$2:$X$224,2,FALSE)</x:f>
        <x:v>Update installation and offline reproduction scripts</x:v>
      </x:c>
      <x:c r="C107" s="2" t="str">
        <x:f>VLOOKUP(A107,'Tasks'!$A$2:$X$224,9,FALSE)</x:f>
        <x:v>Saviour</x:v>
      </x:c>
      <x:c r="D107" s="13" t="n">
        <x:f>VLOOKUP(A107,'Tasks'!$A$2:$X$224,12,FALSE)</x:f>
        <x:v>46317</x:v>
      </x:c>
      <x:c r="E107" s="13" t="n">
        <x:f>VLOOKUP(A107,'Tasks'!$A$2:$X$224,13,FALSE)</x:f>
        <x:v>46317</x:v>
      </x:c>
      <x:c r="F107" s="2" t="str">
        <x:f>VLOOKUP(A107,'Tasks'!$A$2:$X$224,22,FALSE)</x:f>
        <x:v>Todo</x:v>
      </x:c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</x:row>
    <x:row r="108" ht="34" customHeight="1">
      <x:c r="A108" s="2" t="str">
        <x:v>DOC-04</x:v>
      </x:c>
      <x:c r="B108" s="7" t="str">
        <x:f>VLOOKUP(A108,'Tasks'!$A$2:$X$224,2,FALSE)</x:f>
        <x:v>Draft quantitative evidence and honest limitations</x:v>
      </x:c>
      <x:c r="C108" s="2" t="str">
        <x:f>VLOOKUP(A108,'Tasks'!$A$2:$X$224,9,FALSE)</x:f>
        <x:v>Ricky</x:v>
      </x:c>
      <x:c r="D108" s="13" t="n">
        <x:f>VLOOKUP(A108,'Tasks'!$A$2:$X$224,12,FALSE)</x:f>
        <x:v>46320</x:v>
      </x:c>
      <x:c r="E108" s="13" t="n">
        <x:f>VLOOKUP(A108,'Tasks'!$A$2:$X$224,13,FALSE)</x:f>
        <x:v>46320</x:v>
      </x:c>
      <x:c r="F108" s="2" t="str">
        <x:f>VLOOKUP(A108,'Tasks'!$A$2:$X$224,22,FALSE)</x:f>
        <x:v>Todo</x:v>
      </x:c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</x:row>
    <x:row r="109" ht="34" customHeight="1">
      <x:c r="A109" s="2" t="str">
        <x:v>DOC-05</x:v>
      </x:c>
      <x:c r="B109" s="7" t="str">
        <x:f>VLOOKUP(A109,'Tasks'!$A$2:$X$224,2,FALSE)</x:f>
        <x:v>Complete generated API documentation and module notes</x:v>
      </x:c>
      <x:c r="C109" s="2" t="str">
        <x:f>VLOOKUP(A109,'Tasks'!$A$2:$X$224,9,FALSE)</x:f>
        <x:v>Saviour</x:v>
      </x:c>
      <x:c r="D109" s="13" t="n">
        <x:f>VLOOKUP(A109,'Tasks'!$A$2:$X$224,12,FALSE)</x:f>
        <x:v>46320</x:v>
      </x:c>
      <x:c r="E109" s="13" t="n">
        <x:f>VLOOKUP(A109,'Tasks'!$A$2:$X$224,13,FALSE)</x:f>
        <x:v>46320</x:v>
      </x:c>
      <x:c r="F109" s="2" t="str">
        <x:f>VLOOKUP(A109,'Tasks'!$A$2:$X$224,22,FALSE)</x:f>
        <x:v>Todo</x:v>
      </x:c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</x:row>
    <x:row r="110" ht="34" customHeight="1">
      <x:c r="A110" s="2" t="str">
        <x:v>TEST-11</x:v>
      </x:c>
      <x:c r="B110" s="7" t="str">
        <x:f>VLOOKUP(A110,'Tasks'!$A$2:$X$224,2,FALSE)</x:f>
        <x:v>Run combined extension configuration regression</x:v>
      </x:c>
      <x:c r="C110" s="2" t="str">
        <x:f>VLOOKUP(A110,'Tasks'!$A$2:$X$224,9,FALSE)</x:f>
        <x:v>Mohammad</x:v>
      </x:c>
      <x:c r="D110" s="13" t="n">
        <x:f>VLOOKUP(A110,'Tasks'!$A$2:$X$224,12,FALSE)</x:f>
        <x:v>46322</x:v>
      </x:c>
      <x:c r="E110" s="13" t="n">
        <x:f>VLOOKUP(A110,'Tasks'!$A$2:$X$224,13,FALSE)</x:f>
        <x:v>46322</x:v>
      </x:c>
      <x:c r="F110" s="2" t="str">
        <x:f>VLOOKUP(A110,'Tasks'!$A$2:$X$224,22,FALSE)</x:f>
        <x:v>Todo</x:v>
      </x:c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</x:row>
    <x:row r="111" ht="34" customHeight="1">
      <x:c r="A111" s="2" t="str">
        <x:v>G4-01</x:v>
      </x:c>
      <x:c r="B111" s="7" t="str">
        <x:f>VLOOKUP(A111,'Tasks'!$A$2:$X$224,2,FALSE)</x:f>
        <x:v>Freeze admitted extensions and the live demo configuration</x:v>
      </x:c>
      <x:c r="C111" s="2" t="str">
        <x:f>VLOOKUP(A111,'Tasks'!$A$2:$X$224,9,FALSE)</x:f>
        <x:v>Mohammad</x:v>
      </x:c>
      <x:c r="D111" s="13" t="n">
        <x:f>VLOOKUP(A111,'Tasks'!$A$2:$X$224,12,FALSE)</x:f>
        <x:v>46323</x:v>
      </x:c>
      <x:c r="E111" s="13" t="n">
        <x:f>VLOOKUP(A111,'Tasks'!$A$2:$X$224,13,FALSE)</x:f>
        <x:v>46323</x:v>
      </x:c>
      <x:c r="F111" s="2" t="str">
        <x:f>VLOOKUP(A111,'Tasks'!$A$2:$X$224,22,FALSE)</x:f>
        <x:v>Todo</x:v>
      </x:c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</x:row>
    <x:row r="112" ht="34" customHeight="1">
      <x:c r="A112" s="2" t="str">
        <x:v>DOC-06</x:v>
      </x:c>
      <x:c r="B112" s="7" t="str">
        <x:f>VLOOKUP(A112,'Tasks'!$A$2:$X$224,2,FALSE)</x:f>
        <x:v>Produce final metrics table and report figures</x:v>
      </x:c>
      <x:c r="C112" s="2" t="str">
        <x:f>VLOOKUP(A112,'Tasks'!$A$2:$X$224,9,FALSE)</x:f>
        <x:v>Ricky</x:v>
      </x:c>
      <x:c r="D112" s="13" t="n">
        <x:f>VLOOKUP(A112,'Tasks'!$A$2:$X$224,12,FALSE)</x:f>
        <x:v>46323</x:v>
      </x:c>
      <x:c r="E112" s="13" t="n">
        <x:f>VLOOKUP(A112,'Tasks'!$A$2:$X$224,13,FALSE)</x:f>
        <x:v>46323</x:v>
      </x:c>
      <x:c r="F112" s="2" t="str">
        <x:f>VLOOKUP(A112,'Tasks'!$A$2:$X$224,22,FALSE)</x:f>
        <x:v>Todo</x:v>
      </x:c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</x:row>
    <x:row r="113" ht="34" customHeight="1">
      <x:c r="A113" s="2" t="str">
        <x:v>DOC-07</x:v>
      </x:c>
      <x:c r="B113" s="7" t="str">
        <x:f>VLOOKUP(A113,'Tasks'!$A$2:$X$224,2,FALSE)</x:f>
        <x:v>Write design choices and limitations for selected release</x:v>
      </x:c>
      <x:c r="C113" s="2" t="str">
        <x:f>VLOOKUP(A113,'Tasks'!$A$2:$X$224,9,FALSE)</x:f>
        <x:v>Alan</x:v>
      </x:c>
      <x:c r="D113" s="13" t="n">
        <x:f>VLOOKUP(A113,'Tasks'!$A$2:$X$224,12,FALSE)</x:f>
        <x:v>46324</x:v>
      </x:c>
      <x:c r="E113" s="13" t="n">
        <x:f>VLOOKUP(A113,'Tasks'!$A$2:$X$224,13,FALSE)</x:f>
        <x:v>46324</x:v>
      </x:c>
      <x:c r="F113" s="2" t="str">
        <x:f>VLOOKUP(A113,'Tasks'!$A$2:$X$224,22,FALSE)</x:f>
        <x:v>Todo</x:v>
      </x:c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</x:row>
    <x:row r="114" ht="34" customHeight="1">
      <x:c r="A114" s="2" t="str">
        <x:v>DOC-08</x:v>
      </x:c>
      <x:c r="B114" s="7" t="str">
        <x:f>VLOOKUP(A114,'Tasks'!$A$2:$X$224,2,FALSE)</x:f>
        <x:v>Verify core fresh clone as a non-author of application modules</x:v>
      </x:c>
      <x:c r="C114" s="2" t="str">
        <x:f>VLOOKUP(A114,'Tasks'!$A$2:$X$224,9,FALSE)</x:f>
        <x:v>Saviour</x:v>
      </x:c>
      <x:c r="D114" s="13" t="n">
        <x:f>VLOOKUP(A114,'Tasks'!$A$2:$X$224,12,FALSE)</x:f>
        <x:v>46324</x:v>
      </x:c>
      <x:c r="E114" s="13" t="n">
        <x:f>VLOOKUP(A114,'Tasks'!$A$2:$X$224,13,FALSE)</x:f>
        <x:v>46324</x:v>
      </x:c>
      <x:c r="F114" s="2" t="str">
        <x:f>VLOOKUP(A114,'Tasks'!$A$2:$X$224,22,FALSE)</x:f>
        <x:v>Todo</x:v>
      </x:c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</x:row>
    <x:row r="115" ht="34" customHeight="1">
      <x:c r="A115" s="2" t="str">
        <x:v>TEST-12</x:v>
      </x:c>
      <x:c r="B115" s="7" t="str">
        <x:f>VLOOKUP(A115,'Tasks'!$A$2:$X$224,2,FALSE)</x:f>
        <x:v>Reproduce complete demo from a fresh clone on backup machine</x:v>
      </x:c>
      <x:c r="C115" s="2" t="str">
        <x:f>VLOOKUP(A115,'Tasks'!$A$2:$X$224,9,FALSE)</x:f>
        <x:v>Alan</x:v>
      </x:c>
      <x:c r="D115" s="13" t="n">
        <x:f>VLOOKUP(A115,'Tasks'!$A$2:$X$224,12,FALSE)</x:f>
        <x:v>46324</x:v>
      </x:c>
      <x:c r="E115" s="13" t="n">
        <x:f>VLOOKUP(A115,'Tasks'!$A$2:$X$224,13,FALSE)</x:f>
        <x:v>46324</x:v>
      </x:c>
      <x:c r="F115" s="2" t="str">
        <x:f>VLOOKUP(A115,'Tasks'!$A$2:$X$224,22,FALSE)</x:f>
        <x:v>Todo</x:v>
      </x:c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</x:row>
    <x:row r="116" ht="34" customHeight="1">
      <x:c r="A116" s="2" t="str">
        <x:v>DEMO-01</x:v>
      </x:c>
      <x:c r="B116" s="7" t="str">
        <x:f>VLOOKUP(A116,'Tasks'!$A$2:$X$224,2,FALSE)</x:f>
        <x:v>Write an eight-minute demo script with named speakers</x:v>
      </x:c>
      <x:c r="C116" s="2" t="str">
        <x:f>VLOOKUP(A116,'Tasks'!$A$2:$X$224,9,FALSE)</x:f>
        <x:v>Abdullah</x:v>
      </x:c>
      <x:c r="D116" s="13" t="n">
        <x:f>VLOOKUP(A116,'Tasks'!$A$2:$X$224,12,FALSE)</x:f>
        <x:v>46323</x:v>
      </x:c>
      <x:c r="E116" s="13" t="n">
        <x:f>VLOOKUP(A116,'Tasks'!$A$2:$X$224,13,FALSE)</x:f>
        <x:v>46323</x:v>
      </x:c>
      <x:c r="F116" s="2" t="str">
        <x:f>VLOOKUP(A116,'Tasks'!$A$2:$X$224,22,FALSE)</x:f>
        <x:v>Todo</x:v>
      </x:c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</x:row>
    <x:row r="117" ht="34" customHeight="1">
      <x:c r="A117" s="2" t="str">
        <x:v>DEMO-02</x:v>
      </x:c>
      <x:c r="B117" s="7" t="str">
        <x:f>VLOOKUP(A117,'Tasks'!$A$2:$X$224,2,FALSE)</x:f>
        <x:v>Record backup demonstration and evidence screenshots</x:v>
      </x:c>
      <x:c r="C117" s="2" t="str">
        <x:f>VLOOKUP(A117,'Tasks'!$A$2:$X$224,9,FALSE)</x:f>
        <x:v>Mohammad</x:v>
      </x:c>
      <x:c r="D117" s="13" t="n">
        <x:f>VLOOKUP(A117,'Tasks'!$A$2:$X$224,12,FALSE)</x:f>
        <x:v>46324</x:v>
      </x:c>
      <x:c r="E117" s="13" t="n">
        <x:f>VLOOKUP(A117,'Tasks'!$A$2:$X$224,13,FALSE)</x:f>
        <x:v>46324</x:v>
      </x:c>
      <x:c r="F117" s="2" t="str">
        <x:f>VLOOKUP(A117,'Tasks'!$A$2:$X$224,22,FALSE)</x:f>
        <x:v>Todo</x:v>
      </x:c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</x:row>
    <x:row r="118" ht="34" customHeight="1">
      <x:c r="A118" s="2" t="str">
        <x:v>DOC-09</x:v>
      </x:c>
      <x:c r="B118" s="7" t="str">
        <x:f>VLOOKUP(A118,'Tasks'!$A$2:$X$224,2,FALSE)</x:f>
        <x:v>Assemble report PDF and check both length limits</x:v>
      </x:c>
      <x:c r="C118" s="2" t="str">
        <x:f>VLOOKUP(A118,'Tasks'!$A$2:$X$224,9,FALSE)</x:f>
        <x:v>Ricky</x:v>
      </x:c>
      <x:c r="D118" s="13" t="n">
        <x:f>VLOOKUP(A118,'Tasks'!$A$2:$X$224,12,FALSE)</x:f>
        <x:v>46325</x:v>
      </x:c>
      <x:c r="E118" s="13" t="n">
        <x:f>VLOOKUP(A118,'Tasks'!$A$2:$X$224,13,FALSE)</x:f>
        <x:v>46325</x:v>
      </x:c>
      <x:c r="F118" s="2" t="str">
        <x:f>VLOOKUP(A118,'Tasks'!$A$2:$X$224,22,FALSE)</x:f>
        <x:v>Todo</x:v>
      </x:c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</x:row>
    <x:row r="119" ht="34" customHeight="1">
      <x:c r="A119" s="2" t="str">
        <x:v>DOC-10</x:v>
      </x:c>
      <x:c r="B119" s="7" t="str">
        <x:f>VLOOKUP(A119,'Tasks'!$A$2:$X$224,2,FALSE)</x:f>
        <x:v>Review report claims against raw runs and source code</x:v>
      </x:c>
      <x:c r="C119" s="2" t="str">
        <x:f>VLOOKUP(A119,'Tasks'!$A$2:$X$224,9,FALSE)</x:f>
        <x:v>Zhaolin</x:v>
      </x:c>
      <x:c r="D119" s="13" t="n">
        <x:f>VLOOKUP(A119,'Tasks'!$A$2:$X$224,12,FALSE)</x:f>
        <x:v>46325</x:v>
      </x:c>
      <x:c r="E119" s="13" t="n">
        <x:f>VLOOKUP(A119,'Tasks'!$A$2:$X$224,13,FALSE)</x:f>
        <x:v>46325</x:v>
      </x:c>
      <x:c r="F119" s="2" t="str">
        <x:f>VLOOKUP(A119,'Tasks'!$A$2:$X$224,22,FALSE)</x:f>
        <x:v>Todo</x:v>
      </x:c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</x:row>
    <x:row r="120" ht="34" customHeight="1">
      <x:c r="A120" s="2" t="str">
        <x:v>DEMO-03</x:v>
      </x:c>
      <x:c r="B120" s="7" t="str">
        <x:f>VLOOKUP(A120,'Tasks'!$A$2:$X$224,2,FALSE)</x:f>
        <x:v>Lead rehearsal one on the demo laptop</x:v>
      </x:c>
      <x:c r="C120" s="2" t="str">
        <x:f>VLOOKUP(A120,'Tasks'!$A$2:$X$224,9,FALSE)</x:f>
        <x:v>Abdullah</x:v>
      </x:c>
      <x:c r="D120" s="13" t="n">
        <x:f>VLOOKUP(A120,'Tasks'!$A$2:$X$224,12,FALSE)</x:f>
        <x:v>46325</x:v>
      </x:c>
      <x:c r="E120" s="13" t="n">
        <x:f>VLOOKUP(A120,'Tasks'!$A$2:$X$224,13,FALSE)</x:f>
        <x:v>46325</x:v>
      </x:c>
      <x:c r="F120" s="2" t="str">
        <x:f>VLOOKUP(A120,'Tasks'!$A$2:$X$224,22,FALSE)</x:f>
        <x:v>Todo</x:v>
      </x:c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</x:row>
    <x:row r="121" ht="34" customHeight="1">
      <x:c r="A121" s="2" t="str">
        <x:v>DEMO-04</x:v>
      </x:c>
      <x:c r="B121" s="7" t="str">
        <x:f>VLOOKUP(A121,'Tasks'!$A$2:$X$224,2,FALSE)</x:f>
        <x:v>Lead rehearsal two and cross-module Q&amp;A</x:v>
      </x:c>
      <x:c r="C121" s="2" t="str">
        <x:f>VLOOKUP(A121,'Tasks'!$A$2:$X$224,9,FALSE)</x:f>
        <x:v>Zhaolin</x:v>
      </x:c>
      <x:c r="D121" s="13" t="n">
        <x:f>VLOOKUP(A121,'Tasks'!$A$2:$X$224,12,FALSE)</x:f>
        <x:v>46326</x:v>
      </x:c>
      <x:c r="E121" s="13" t="n">
        <x:f>VLOOKUP(A121,'Tasks'!$A$2:$X$224,13,FALSE)</x:f>
        <x:v>46326</x:v>
      </x:c>
      <x:c r="F121" s="2" t="str">
        <x:f>VLOOKUP(A121,'Tasks'!$A$2:$X$224,22,FALSE)</x:f>
        <x:v>Todo</x:v>
      </x:c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</x:row>
    <x:row r="122" ht="34" customHeight="1">
      <x:c r="A122" s="2" t="str">
        <x:v>G5-01</x:v>
      </x:c>
      <x:c r="B122" s="7" t="str">
        <x:f>VLOOKUP(A122,'Tasks'!$A$2:$X$224,2,FALSE)</x:f>
        <x:v>Check submission readiness and prepare final release</x:v>
      </x:c>
      <x:c r="C122" s="2" t="str">
        <x:f>VLOOKUP(A122,'Tasks'!$A$2:$X$224,9,FALSE)</x:f>
        <x:v>Saviour</x:v>
      </x:c>
      <x:c r="D122" s="13" t="n">
        <x:f>VLOOKUP(A122,'Tasks'!$A$2:$X$224,12,FALSE)</x:f>
        <x:v>46326</x:v>
      </x:c>
      <x:c r="E122" s="13" t="n">
        <x:f>VLOOKUP(A122,'Tasks'!$A$2:$X$224,13,FALSE)</x:f>
        <x:v>46326</x:v>
      </x:c>
      <x:c r="F122" s="2" t="str">
        <x:f>VLOOKUP(A122,'Tasks'!$A$2:$X$224,22,FALSE)</x:f>
        <x:v>Todo</x:v>
      </x:c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</x:row>
    <x:row r="123" ht="34" customHeight="1">
      <x:c r="A123" s="2" t="str">
        <x:v>TEST-13</x:v>
      </x:c>
      <x:c r="B123" s="7" t="str">
        <x:f>VLOOKUP(A123,'Tasks'!$A$2:$X$224,2,FALSE)</x:f>
        <x:v>Verify sensor timeout and stale-snapshot stopping</x:v>
      </x:c>
      <x:c r="C123" s="2" t="str">
        <x:f>VLOOKUP(A123,'Tasks'!$A$2:$X$224,9,FALSE)</x:f>
        <x:v>Mohammad</x:v>
      </x:c>
      <x:c r="D123" s="13" t="n">
        <x:f>VLOOKUP(A123,'Tasks'!$A$2:$X$224,12,FALSE)</x:f>
        <x:v>46312</x:v>
      </x:c>
      <x:c r="E123" s="13" t="n">
        <x:f>VLOOKUP(A123,'Tasks'!$A$2:$X$224,13,FALSE)</x:f>
        <x:v>46312</x:v>
      </x:c>
      <x:c r="F123" s="2" t="str">
        <x:f>VLOOKUP(A123,'Tasks'!$A$2:$X$224,22,FALSE)</x:f>
        <x:v>Todo</x:v>
      </x:c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</x:row>
    <x:row r="124" ht="34" customHeight="1">
      <x:c r="A124" s="2" t="str">
        <x:v>TEST-14</x:v>
      </x:c>
      <x:c r="B124" s="7" t="str">
        <x:f>VLOOKUP(A124,'Tasks'!$A$2:$X$224,2,FALSE)</x:f>
        <x:v>Check geometry and stopping metric golden fixtures</x:v>
      </x:c>
      <x:c r="C124" s="2" t="str">
        <x:f>VLOOKUP(A124,'Tasks'!$A$2:$X$224,9,FALSE)</x:f>
        <x:v>Saviour</x:v>
      </x:c>
      <x:c r="D124" s="13" t="n">
        <x:f>VLOOKUP(A124,'Tasks'!$A$2:$X$224,12,FALSE)</x:f>
        <x:v>46313</x:v>
      </x:c>
      <x:c r="E124" s="13" t="n">
        <x:f>VLOOKUP(A124,'Tasks'!$A$2:$X$224,13,FALSE)</x:f>
        <x:v>46313</x:v>
      </x:c>
      <x:c r="F124" s="2" t="str">
        <x:f>VLOOKUP(A124,'Tasks'!$A$2:$X$224,22,FALSE)</x:f>
        <x:v>Todo</x:v>
      </x:c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</x:row>
    <x:row r="125" ht="34" customHeight="1">
      <x:c r="A125" s="2" t="str">
        <x:v>TEST-15</x:v>
      </x:c>
      <x:c r="B125" s="7" t="str">
        <x:f>VLOOKUP(A125,'Tasks'!$A$2:$X$224,2,FALSE)</x:f>
        <x:v>Stress HOLD under occlusion and missing observations</x:v>
      </x:c>
      <x:c r="C125" s="2" t="str">
        <x:f>VLOOKUP(A125,'Tasks'!$A$2:$X$224,9,FALSE)</x:f>
        <x:v>Alan</x:v>
      </x:c>
      <x:c r="D125" s="13" t="n">
        <x:f>VLOOKUP(A125,'Tasks'!$A$2:$X$224,12,FALSE)</x:f>
        <x:v>46319</x:v>
      </x:c>
      <x:c r="E125" s="13" t="n">
        <x:f>VLOOKUP(A125,'Tasks'!$A$2:$X$224,13,FALSE)</x:f>
        <x:v>46319</x:v>
      </x:c>
      <x:c r="F125" s="2" t="str">
        <x:f>VLOOKUP(A125,'Tasks'!$A$2:$X$224,22,FALSE)</x:f>
        <x:v>Todo</x:v>
      </x:c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</x:row>
    <x:row r="126" ht="34" customHeight="1">
      <x:c r="A126" s="2" t="str">
        <x:v>TEST-16</x:v>
      </x:c>
      <x:c r="B126" s="7" t="str">
        <x:f>VLOOKUP(A126,'Tasks'!$A$2:$X$224,2,FALSE)</x:f>
        <x:v>Stress controller exceptions and endpoint overshoot handling</x:v>
      </x:c>
      <x:c r="C126" s="2" t="str">
        <x:f>VLOOKUP(A126,'Tasks'!$A$2:$X$224,9,FALSE)</x:f>
        <x:v>Zhaolin</x:v>
      </x:c>
      <x:c r="D126" s="13" t="n">
        <x:f>VLOOKUP(A126,'Tasks'!$A$2:$X$224,12,FALSE)</x:f>
        <x:v>46319</x:v>
      </x:c>
      <x:c r="E126" s="13" t="n">
        <x:f>VLOOKUP(A126,'Tasks'!$A$2:$X$224,13,FALSE)</x:f>
        <x:v>46319</x:v>
      </x:c>
      <x:c r="F126" s="2" t="str">
        <x:f>VLOOKUP(A126,'Tasks'!$A$2:$X$224,22,FALSE)</x:f>
        <x:v>Todo</x:v>
      </x:c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</x:row>
    <x:row r="127" ht="34" customHeight="1">
      <x:c r="A127" s="2" t="str">
        <x:v>TEST-17</x:v>
      </x:c>
      <x:c r="B127" s="7" t="str">
        <x:f>VLOOKUP(A127,'Tasks'!$A$2:$X$224,2,FALSE)</x:f>
        <x:v>Profile the full sensor rig and reduce unnecessary cadence</x:v>
      </x:c>
      <x:c r="C127" s="2" t="str">
        <x:f>VLOOKUP(A127,'Tasks'!$A$2:$X$224,9,FALSE)</x:f>
        <x:v>Mohammad</x:v>
      </x:c>
      <x:c r="D127" s="13" t="n">
        <x:f>VLOOKUP(A127,'Tasks'!$A$2:$X$224,12,FALSE)</x:f>
        <x:v>46320</x:v>
      </x:c>
      <x:c r="E127" s="13" t="n">
        <x:f>VLOOKUP(A127,'Tasks'!$A$2:$X$224,13,FALSE)</x:f>
        <x:v>46320</x:v>
      </x:c>
      <x:c r="F127" s="2" t="str">
        <x:f>VLOOKUP(A127,'Tasks'!$A$2:$X$224,22,FALSE)</x:f>
        <x:v>Todo</x:v>
      </x:c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</x:row>
    <x:row r="128" ht="34" customHeight="1">
      <x:c r="A128" s="2" t="str">
        <x:v>DOC-11</x:v>
      </x:c>
      <x:c r="B128" s="7" t="str">
        <x:f>VLOOKUP(A128,'Tasks'!$A$2:$X$224,2,FALSE)</x:f>
        <x:v>Write navigation calibration and parking design evidence</x:v>
      </x:c>
      <x:c r="C128" s="2" t="str">
        <x:f>VLOOKUP(A128,'Tasks'!$A$2:$X$224,9,FALSE)</x:f>
        <x:v>Zhaolin</x:v>
      </x:c>
      <x:c r="D128" s="13" t="n">
        <x:f>VLOOKUP(A128,'Tasks'!$A$2:$X$224,12,FALSE)</x:f>
        <x:v>46320</x:v>
      </x:c>
      <x:c r="E128" s="13" t="n">
        <x:f>VLOOKUP(A128,'Tasks'!$A$2:$X$224,13,FALSE)</x:f>
        <x:v>46320</x:v>
      </x:c>
      <x:c r="F128" s="2" t="str">
        <x:f>VLOOKUP(A128,'Tasks'!$A$2:$X$224,22,FALSE)</x:f>
        <x:v>Todo</x:v>
      </x:c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</x:row>
    <x:row r="129" ht="34" customHeight="1">
      <x:c r="A129" s="2" t="str">
        <x:v>TEST-18</x:v>
      </x:c>
      <x:c r="B129" s="7" t="str">
        <x:f>VLOOKUP(A129,'Tasks'!$A$2:$X$224,2,FALSE)</x:f>
        <x:v>Run offline all-flags fault suite and export diagnostics</x:v>
      </x:c>
      <x:c r="C129" s="2" t="str">
        <x:f>VLOOKUP(A129,'Tasks'!$A$2:$X$224,9,FALSE)</x:f>
        <x:v>Saviour</x:v>
      </x:c>
      <x:c r="D129" s="13" t="n">
        <x:f>VLOOKUP(A129,'Tasks'!$A$2:$X$224,12,FALSE)</x:f>
        <x:v>46323</x:v>
      </x:c>
      <x:c r="E129" s="13" t="n">
        <x:f>VLOOKUP(A129,'Tasks'!$A$2:$X$224,13,FALSE)</x:f>
        <x:v>46323</x:v>
      </x:c>
      <x:c r="F129" s="2" t="str">
        <x:f>VLOOKUP(A129,'Tasks'!$A$2:$X$224,22,FALSE)</x:f>
        <x:v>Todo</x:v>
      </x:c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</x:row>
    <x:row r="130" ht="34" customHeight="1">
      <x:c r="A130" s="2" t="str">
        <x:v>DOC-12</x:v>
      </x:c>
      <x:c r="B130" s="7" t="str">
        <x:f>VLOOKUP(A130,'Tasks'!$A$2:$X$224,2,FALSE)</x:f>
        <x:v>Audit evidence files, hashes and missing-result labels</x:v>
      </x:c>
      <x:c r="C130" s="2" t="str">
        <x:f>VLOOKUP(A130,'Tasks'!$A$2:$X$224,9,FALSE)</x:f>
        <x:v>Saviour</x:v>
      </x:c>
      <x:c r="D130" s="13" t="n">
        <x:f>VLOOKUP(A130,'Tasks'!$A$2:$X$224,12,FALSE)</x:f>
        <x:v>46324</x:v>
      </x:c>
      <x:c r="E130" s="13" t="n">
        <x:f>VLOOKUP(A130,'Tasks'!$A$2:$X$224,13,FALSE)</x:f>
        <x:v>46324</x:v>
      </x:c>
      <x:c r="F130" s="2" t="str">
        <x:f>VLOOKUP(A130,'Tasks'!$A$2:$X$224,22,FALSE)</x:f>
        <x:v>Todo</x:v>
      </x:c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</x:row>
    <x:row r="131" ht="34" customHeight="1">
      <x:c r="A131" s="2" t="str">
        <x:v>DOC-13</x:v>
      </x:c>
      <x:c r="B131" s="7" t="str">
        <x:f>VLOOKUP(A131,'Tasks'!$A$2:$X$224,2,FALSE)</x:f>
        <x:v>Document Wayfinder and lane-monitor architecture</x:v>
      </x:c>
      <x:c r="C131" s="2" t="str">
        <x:f>VLOOKUP(A131,'Tasks'!$A$2:$X$224,9,FALSE)</x:f>
        <x:v>Abdullah</x:v>
      </x:c>
      <x:c r="D131" s="13" t="n">
        <x:f>VLOOKUP(A131,'Tasks'!$A$2:$X$224,12,FALSE)</x:f>
        <x:v>46324</x:v>
      </x:c>
      <x:c r="E131" s="13" t="n">
        <x:f>VLOOKUP(A131,'Tasks'!$A$2:$X$224,13,FALSE)</x:f>
        <x:v>46324</x:v>
      </x:c>
      <x:c r="F131" s="2" t="str">
        <x:f>VLOOKUP(A131,'Tasks'!$A$2:$X$224,22,FALSE)</x:f>
        <x:v>Todo</x:v>
      </x:c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</x:row>
    <x:row r="132" ht="34" customHeight="1">
      <x:c r="A132" s="2" t="str">
        <x:v>DOC-14</x:v>
      </x:c>
      <x:c r="B132" s="7" t="str">
        <x:f>VLOOKUP(A132,'Tasks'!$A$2:$X$224,2,FALSE)</x:f>
        <x:v>Document LiDAR and segmentation results with limitations</x:v>
      </x:c>
      <x:c r="C132" s="2" t="str">
        <x:f>VLOOKUP(A132,'Tasks'!$A$2:$X$224,9,FALSE)</x:f>
        <x:v>Mohammad</x:v>
      </x:c>
      <x:c r="D132" s="13" t="n">
        <x:f>VLOOKUP(A132,'Tasks'!$A$2:$X$224,12,FALSE)</x:f>
        <x:v>46324</x:v>
      </x:c>
      <x:c r="E132" s="13" t="n">
        <x:f>VLOOKUP(A132,'Tasks'!$A$2:$X$224,13,FALSE)</x:f>
        <x:v>46324</x:v>
      </x:c>
      <x:c r="F132" s="2" t="str">
        <x:f>VLOOKUP(A132,'Tasks'!$A$2:$X$224,22,FALSE)</x:f>
        <x:v>Todo</x:v>
      </x:c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</x:row>
    <x:row r="133" ht="34" customHeight="1">
      <x:c r="A133" s="2" t="str">
        <x:v>TEST-19</x:v>
      </x:c>
      <x:c r="B133" s="7" t="str">
        <x:f>VLOOKUP(A133,'Tasks'!$A$2:$X$224,2,FALSE)</x:f>
        <x:v>Verify release offline startup and importer handoff</x:v>
      </x:c>
      <x:c r="C133" s="2" t="str">
        <x:f>VLOOKUP(A133,'Tasks'!$A$2:$X$224,9,FALSE)</x:f>
        <x:v>Saviour</x:v>
      </x:c>
      <x:c r="D133" s="13" t="n">
        <x:f>VLOOKUP(A133,'Tasks'!$A$2:$X$224,12,FALSE)</x:f>
        <x:v>46325</x:v>
      </x:c>
      <x:c r="E133" s="13" t="n">
        <x:f>VLOOKUP(A133,'Tasks'!$A$2:$X$224,13,FALSE)</x:f>
        <x:v>46325</x:v>
      </x:c>
      <x:c r="F133" s="2" t="str">
        <x:f>VLOOKUP(A133,'Tasks'!$A$2:$X$224,22,FALSE)</x:f>
        <x:v>Todo</x:v>
      </x:c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</x:row>
    <x:row r="134" ht="34" customHeight="1">
      <x:c r="A134" s="2" t="str">
        <x:v>TEST-20</x:v>
      </x:c>
      <x:c r="B134" s="7" t="str">
        <x:f>VLOOKUP(A134,'Tasks'!$A$2:$X$224,2,FALSE)</x:f>
        <x:v>Verify release sensors and held-green mission constraints</x:v>
      </x:c>
      <x:c r="C134" s="2" t="str">
        <x:f>VLOOKUP(A134,'Tasks'!$A$2:$X$224,9,FALSE)</x:f>
        <x:v>Alan</x:v>
      </x:c>
      <x:c r="D134" s="13" t="n">
        <x:f>VLOOKUP(A134,'Tasks'!$A$2:$X$224,12,FALSE)</x:f>
        <x:v>46323</x:v>
      </x:c>
      <x:c r="E134" s="13" t="n">
        <x:f>VLOOKUP(A134,'Tasks'!$A$2:$X$224,13,FALSE)</x:f>
        <x:v>46323</x:v>
      </x:c>
      <x:c r="F134" s="2" t="str">
        <x:f>VLOOKUP(A134,'Tasks'!$A$2:$X$224,22,FALSE)</x:f>
        <x:v>Todo</x:v>
      </x:c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</x:row>
    <x:row r="135" ht="34" customHeight="1">
      <x:c r="A135" s="2" t="str">
        <x:v>E5-09</x:v>
      </x:c>
      <x:c r="B135" s="7" t="str">
        <x:f>VLOOKUP(A135,'Tasks'!$A$2:$X$224,2,FALSE)</x:f>
        <x:v>Run P2-enabled baseline regression before any admission</x:v>
      </x:c>
      <x:c r="C135" s="2" t="str">
        <x:f>VLOOKUP(A135,'Tasks'!$A$2:$X$224,9,FALSE)</x:f>
        <x:v>Zhaolin</x:v>
      </x:c>
      <x:c r="D135" s="13" t="n">
        <x:f>VLOOKUP(A135,'Tasks'!$A$2:$X$224,12,FALSE)</x:f>
        <x:v>46323</x:v>
      </x:c>
      <x:c r="E135" s="13" t="n">
        <x:f>VLOOKUP(A135,'Tasks'!$A$2:$X$224,13,FALSE)</x:f>
        <x:v>46323</x:v>
      </x:c>
      <x:c r="F135" s="2" t="str">
        <x:f>VLOOKUP(A135,'Tasks'!$A$2:$X$224,22,FALSE)</x:f>
        <x:v>Todo</x:v>
      </x:c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</x:row>
    <x:row r="136" ht="34" customHeight="1">
      <x:c r="A136" s="2" t="str">
        <x:v>DOC-15</x:v>
      </x:c>
      <x:c r="B136" s="7" t="str">
        <x:f>VLOOKUP(A136,'Tasks'!$A$2:$X$224,2,FALSE)</x:f>
        <x:v>Document cloud sessions, failover limits and measured costs</x:v>
      </x:c>
      <x:c r="C136" s="2" t="str">
        <x:f>VLOOKUP(A136,'Tasks'!$A$2:$X$224,9,FALSE)</x:f>
        <x:v>Ricky</x:v>
      </x:c>
      <x:c r="D136" s="13" t="n">
        <x:f>VLOOKUP(A136,'Tasks'!$A$2:$X$224,12,FALSE)</x:f>
        <x:v>46325</x:v>
      </x:c>
      <x:c r="E136" s="13" t="n">
        <x:f>VLOOKUP(A136,'Tasks'!$A$2:$X$224,13,FALSE)</x:f>
        <x:v>46325</x:v>
      </x:c>
      <x:c r="F136" s="2" t="str">
        <x:f>VLOOKUP(A136,'Tasks'!$A$2:$X$224,22,FALSE)</x:f>
        <x:v>Todo</x:v>
      </x:c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</x:row>
    <x:row r="137" ht="34" customHeight="1">
      <x:c r="A137" s="2" t="str">
        <x:v>TEST-21</x:v>
      </x:c>
      <x:c r="B137" s="7" t="str">
        <x:f>VLOOKUP(A137,'Tasks'!$A$2:$X$224,2,FALSE)</x:f>
        <x:v>Validate video fallback and demo laptop cold start</x:v>
      </x:c>
      <x:c r="C137" s="2" t="str">
        <x:f>VLOOKUP(A137,'Tasks'!$A$2:$X$224,9,FALSE)</x:f>
        <x:v>Abdullah</x:v>
      </x:c>
      <x:c r="D137" s="13" t="n">
        <x:f>VLOOKUP(A137,'Tasks'!$A$2:$X$224,12,FALSE)</x:f>
        <x:v>46325</x:v>
      </x:c>
      <x:c r="E137" s="13" t="n">
        <x:f>VLOOKUP(A137,'Tasks'!$A$2:$X$224,13,FALSE)</x:f>
        <x:v>46325</x:v>
      </x:c>
      <x:c r="F137" s="2" t="str">
        <x:f>VLOOKUP(A137,'Tasks'!$A$2:$X$224,22,FALSE)</x:f>
        <x:v>Todo</x:v>
      </x:c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</x:row>
    <x:row r="138" ht="34" customHeight="1">
      <x:c r="A138" s="2" t="str">
        <x:v>DOC-16</x:v>
      </x:c>
      <x:c r="B138" s="7" t="str">
        <x:f>VLOOKUP(A138,'Tasks'!$A$2:$X$224,2,FALSE)</x:f>
        <x:v>Package parking evidence and explain cut reverse features</x:v>
      </x:c>
      <x:c r="C138" s="2" t="str">
        <x:f>VLOOKUP(A138,'Tasks'!$A$2:$X$224,9,FALSE)</x:f>
        <x:v>Zhaolin</x:v>
      </x:c>
      <x:c r="D138" s="13" t="n">
        <x:f>VLOOKUP(A138,'Tasks'!$A$2:$X$224,12,FALSE)</x:f>
        <x:v>46324</x:v>
      </x:c>
      <x:c r="E138" s="13" t="n">
        <x:f>VLOOKUP(A138,'Tasks'!$A$2:$X$224,13,FALSE)</x:f>
        <x:v>46324</x:v>
      </x:c>
      <x:c r="F138" s="2" t="str">
        <x:f>VLOOKUP(A138,'Tasks'!$A$2:$X$224,22,FALSE)</x:f>
        <x:v>Todo</x:v>
      </x:c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</x:row>
    <x:row r="139" ht="34" customHeight="1">
      <x:c r="A139" s="2" t="str">
        <x:v>REV-MOH-1</x:v>
      </x:c>
      <x:c r="B139" s="7" t="str">
        <x:f>VLOOKUP(A139,'Tasks'!$A$2:$X$224,2,FALSE)</x:f>
        <x:v>Review Alan work for Week 1</x:v>
      </x:c>
      <x:c r="C139" s="2" t="str">
        <x:f>VLOOKUP(A139,'Tasks'!$A$2:$X$224,9,FALSE)</x:f>
        <x:v>Mohammad</x:v>
      </x:c>
      <x:c r="D139" s="13" t="n">
        <x:f>VLOOKUP(A139,'Tasks'!$A$2:$X$224,12,FALSE)</x:f>
        <x:v>46307</x:v>
      </x:c>
      <x:c r="E139" s="13" t="n">
        <x:f>VLOOKUP(A139,'Tasks'!$A$2:$X$224,13,FALSE)</x:f>
        <x:v>46313</x:v>
      </x:c>
      <x:c r="F139" s="2" t="str">
        <x:f>VLOOKUP(A139,'Tasks'!$A$2:$X$224,22,FALSE)</x:f>
        <x:v>Todo</x:v>
      </x:c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</x:row>
    <x:row r="140" ht="34" customHeight="1">
      <x:c r="A140" s="2" t="str">
        <x:v>COM-MOH-1</x:v>
      </x:c>
      <x:c r="B140" s="7" t="str">
        <x:f>VLOOKUP(A140,'Tasks'!$A$2:$X$224,2,FALSE)</x:f>
        <x:v>Attend Week 1 integration and cross-training sessions</x:v>
      </x:c>
      <x:c r="C140" s="2" t="str">
        <x:f>VLOOKUP(A140,'Tasks'!$A$2:$X$224,9,FALSE)</x:f>
        <x:v>Mohammad</x:v>
      </x:c>
      <x:c r="D140" s="13" t="n">
        <x:f>VLOOKUP(A140,'Tasks'!$A$2:$X$224,12,FALSE)</x:f>
        <x:v>46307</x:v>
      </x:c>
      <x:c r="E140" s="13" t="n">
        <x:f>VLOOKUP(A140,'Tasks'!$A$2:$X$224,13,FALSE)</x:f>
        <x:v>46313</x:v>
      </x:c>
      <x:c r="F140" s="2" t="str">
        <x:f>VLOOKUP(A140,'Tasks'!$A$2:$X$224,22,FALSE)</x:f>
        <x:v>Todo</x:v>
      </x:c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</x:row>
    <x:row r="141" ht="34" customHeight="1">
      <x:c r="A141" s="2" t="str">
        <x:v>IND-MOH-AI1</x:v>
      </x:c>
      <x:c r="B141" s="7" t="str">
        <x:f>VLOOKUP(A141,'Tasks'!$A$2:$X$224,2,FALSE)</x:f>
        <x:v>Check Week 1 AI Journal and commit disclosures</x:v>
      </x:c>
      <x:c r="C141" s="2" t="str">
        <x:f>VLOOKUP(A141,'Tasks'!$A$2:$X$224,9,FALSE)</x:f>
        <x:v>Mohammad</x:v>
      </x:c>
      <x:c r="D141" s="13" t="n">
        <x:f>VLOOKUP(A141,'Tasks'!$A$2:$X$224,12,FALSE)</x:f>
        <x:v>46313</x:v>
      </x:c>
      <x:c r="E141" s="13" t="n">
        <x:f>VLOOKUP(A141,'Tasks'!$A$2:$X$224,13,FALSE)</x:f>
        <x:v>46313</x:v>
      </x:c>
      <x:c r="F141" s="2" t="str">
        <x:f>VLOOKUP(A141,'Tasks'!$A$2:$X$224,22,FALSE)</x:f>
        <x:v>Todo</x:v>
      </x:c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</x:row>
    <x:row r="142" ht="34" customHeight="1">
      <x:c r="A142" s="2" t="str">
        <x:v>REV-MOH-2</x:v>
      </x:c>
      <x:c r="B142" s="7" t="str">
        <x:f>VLOOKUP(A142,'Tasks'!$A$2:$X$224,2,FALSE)</x:f>
        <x:v>Review Alan work for Week 2</x:v>
      </x:c>
      <x:c r="C142" s="2" t="str">
        <x:f>VLOOKUP(A142,'Tasks'!$A$2:$X$224,9,FALSE)</x:f>
        <x:v>Mohammad</x:v>
      </x:c>
      <x:c r="D142" s="13" t="n">
        <x:f>VLOOKUP(A142,'Tasks'!$A$2:$X$224,12,FALSE)</x:f>
        <x:v>46314</x:v>
      </x:c>
      <x:c r="E142" s="13" t="n">
        <x:f>VLOOKUP(A142,'Tasks'!$A$2:$X$224,13,FALSE)</x:f>
        <x:v>46320</x:v>
      </x:c>
      <x:c r="F142" s="2" t="str">
        <x:f>VLOOKUP(A142,'Tasks'!$A$2:$X$224,22,FALSE)</x:f>
        <x:v>Todo</x:v>
      </x:c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</x:row>
    <x:row r="143" ht="34" customHeight="1">
      <x:c r="A143" s="2" t="str">
        <x:v>COM-MOH-2</x:v>
      </x:c>
      <x:c r="B143" s="7" t="str">
        <x:f>VLOOKUP(A143,'Tasks'!$A$2:$X$224,2,FALSE)</x:f>
        <x:v>Attend Week 2 integration and cross-training sessions</x:v>
      </x:c>
      <x:c r="C143" s="2" t="str">
        <x:f>VLOOKUP(A143,'Tasks'!$A$2:$X$224,9,FALSE)</x:f>
        <x:v>Mohammad</x:v>
      </x:c>
      <x:c r="D143" s="13" t="n">
        <x:f>VLOOKUP(A143,'Tasks'!$A$2:$X$224,12,FALSE)</x:f>
        <x:v>46314</x:v>
      </x:c>
      <x:c r="E143" s="13" t="n">
        <x:f>VLOOKUP(A143,'Tasks'!$A$2:$X$224,13,FALSE)</x:f>
        <x:v>46320</x:v>
      </x:c>
      <x:c r="F143" s="2" t="str">
        <x:f>VLOOKUP(A143,'Tasks'!$A$2:$X$224,22,FALSE)</x:f>
        <x:v>Todo</x:v>
      </x:c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</x:row>
    <x:row r="144" ht="34" customHeight="1">
      <x:c r="A144" s="2" t="str">
        <x:v>IND-MOH-AI2</x:v>
      </x:c>
      <x:c r="B144" s="7" t="str">
        <x:f>VLOOKUP(A144,'Tasks'!$A$2:$X$224,2,FALSE)</x:f>
        <x:v>Check Week 2 AI Journal and commit disclosures</x:v>
      </x:c>
      <x:c r="C144" s="2" t="str">
        <x:f>VLOOKUP(A144,'Tasks'!$A$2:$X$224,9,FALSE)</x:f>
        <x:v>Mohammad</x:v>
      </x:c>
      <x:c r="D144" s="13" t="n">
        <x:f>VLOOKUP(A144,'Tasks'!$A$2:$X$224,12,FALSE)</x:f>
        <x:v>46320</x:v>
      </x:c>
      <x:c r="E144" s="13" t="n">
        <x:f>VLOOKUP(A144,'Tasks'!$A$2:$X$224,13,FALSE)</x:f>
        <x:v>46320</x:v>
      </x:c>
      <x:c r="F144" s="2" t="str">
        <x:f>VLOOKUP(A144,'Tasks'!$A$2:$X$224,22,FALSE)</x:f>
        <x:v>Todo</x:v>
      </x:c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</x:row>
    <x:row r="145" ht="34" customHeight="1">
      <x:c r="A145" s="2" t="str">
        <x:v>REV-MOH-3</x:v>
      </x:c>
      <x:c r="B145" s="7" t="str">
        <x:f>VLOOKUP(A145,'Tasks'!$A$2:$X$224,2,FALSE)</x:f>
        <x:v>Review Alan work for Week 3</x:v>
      </x:c>
      <x:c r="C145" s="2" t="str">
        <x:f>VLOOKUP(A145,'Tasks'!$A$2:$X$224,9,FALSE)</x:f>
        <x:v>Mohammad</x:v>
      </x:c>
      <x:c r="D145" s="13" t="n">
        <x:f>VLOOKUP(A145,'Tasks'!$A$2:$X$224,12,FALSE)</x:f>
        <x:v>46321</x:v>
      </x:c>
      <x:c r="E145" s="13" t="n">
        <x:f>VLOOKUP(A145,'Tasks'!$A$2:$X$224,13,FALSE)</x:f>
        <x:v>46326</x:v>
      </x:c>
      <x:c r="F145" s="2" t="str">
        <x:f>VLOOKUP(A145,'Tasks'!$A$2:$X$224,22,FALSE)</x:f>
        <x:v>Todo</x:v>
      </x:c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</x:row>
    <x:row r="146" ht="34" customHeight="1">
      <x:c r="A146" s="2" t="str">
        <x:v>COM-MOH-3</x:v>
      </x:c>
      <x:c r="B146" s="7" t="str">
        <x:f>VLOOKUP(A146,'Tasks'!$A$2:$X$224,2,FALSE)</x:f>
        <x:v>Attend Week 3 integration and cross-training sessions</x:v>
      </x:c>
      <x:c r="C146" s="2" t="str">
        <x:f>VLOOKUP(A146,'Tasks'!$A$2:$X$224,9,FALSE)</x:f>
        <x:v>Mohammad</x:v>
      </x:c>
      <x:c r="D146" s="13" t="n">
        <x:f>VLOOKUP(A146,'Tasks'!$A$2:$X$224,12,FALSE)</x:f>
        <x:v>46321</x:v>
      </x:c>
      <x:c r="E146" s="13" t="n">
        <x:f>VLOOKUP(A146,'Tasks'!$A$2:$X$224,13,FALSE)</x:f>
        <x:v>46326</x:v>
      </x:c>
      <x:c r="F146" s="2" t="str">
        <x:f>VLOOKUP(A146,'Tasks'!$A$2:$X$224,22,FALSE)</x:f>
        <x:v>Todo</x:v>
      </x:c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</x:row>
    <x:row r="147" ht="34" customHeight="1">
      <x:c r="A147" s="2" t="str">
        <x:v>IND-MOH-AI3</x:v>
      </x:c>
      <x:c r="B147" s="7" t="str">
        <x:f>VLOOKUP(A147,'Tasks'!$A$2:$X$224,2,FALSE)</x:f>
        <x:v>Check Week 3 AI Journal and commit disclosures</x:v>
      </x:c>
      <x:c r="C147" s="2" t="str">
        <x:f>VLOOKUP(A147,'Tasks'!$A$2:$X$224,9,FALSE)</x:f>
        <x:v>Mohammad</x:v>
      </x:c>
      <x:c r="D147" s="13" t="n">
        <x:f>VLOOKUP(A147,'Tasks'!$A$2:$X$224,12,FALSE)</x:f>
        <x:v>46326</x:v>
      </x:c>
      <x:c r="E147" s="13" t="n">
        <x:f>VLOOKUP(A147,'Tasks'!$A$2:$X$224,13,FALSE)</x:f>
        <x:v>46326</x:v>
      </x:c>
      <x:c r="F147" s="2" t="str">
        <x:f>VLOOKUP(A147,'Tasks'!$A$2:$X$224,22,FALSE)</x:f>
        <x:v>Todo</x:v>
      </x:c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</x:row>
    <x:row r="148" ht="34" customHeight="1">
      <x:c r="A148" s="2" t="str">
        <x:v>IND-MOH-REF</x:v>
      </x:c>
      <x:c r="B148" s="7" t="str">
        <x:f>VLOOKUP(A148,'Tasks'!$A$2:$X$224,2,FALSE)</x:f>
        <x:v>Draft and privately check individual self-reflection</x:v>
      </x:c>
      <x:c r="C148" s="2" t="str">
        <x:f>VLOOKUP(A148,'Tasks'!$A$2:$X$224,9,FALSE)</x:f>
        <x:v>Mohammad</x:v>
      </x:c>
      <x:c r="D148" s="13" t="n">
        <x:f>VLOOKUP(A148,'Tasks'!$A$2:$X$224,12,FALSE)</x:f>
        <x:v>46325</x:v>
      </x:c>
      <x:c r="E148" s="13" t="n">
        <x:f>VLOOKUP(A148,'Tasks'!$A$2:$X$224,13,FALSE)</x:f>
        <x:v>46325</x:v>
      </x:c>
      <x:c r="F148" s="2" t="str">
        <x:f>VLOOKUP(A148,'Tasks'!$A$2:$X$224,22,FALSE)</x:f>
        <x:v>Todo</x:v>
      </x:c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</x:row>
    <x:row r="149" ht="34" customHeight="1">
      <x:c r="A149" s="2" t="str">
        <x:v>IND-MOH-PEER</x:v>
      </x:c>
      <x:c r="B149" s="7" t="str">
        <x:f>VLOOKUP(A149,'Tasks'!$A$2:$X$224,2,FALSE)</x:f>
        <x:v>Prepare peer-reflection forms and verify lab attendance</x:v>
      </x:c>
      <x:c r="C149" s="2" t="str">
        <x:f>VLOOKUP(A149,'Tasks'!$A$2:$X$224,9,FALSE)</x:f>
        <x:v>Mohammad</x:v>
      </x:c>
      <x:c r="D149" s="13" t="n">
        <x:f>VLOOKUP(A149,'Tasks'!$A$2:$X$224,12,FALSE)</x:f>
        <x:v>46326</x:v>
      </x:c>
      <x:c r="E149" s="13" t="n">
        <x:f>VLOOKUP(A149,'Tasks'!$A$2:$X$224,13,FALSE)</x:f>
        <x:v>46326</x:v>
      </x:c>
      <x:c r="F149" s="2" t="str">
        <x:f>VLOOKUP(A149,'Tasks'!$A$2:$X$224,22,FALSE)</x:f>
        <x:v>Todo</x:v>
      </x:c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</x:row>
    <x:row r="150" ht="34" customHeight="1">
      <x:c r="A150" s="2" t="str">
        <x:v>IND-MOH-SPARK</x:v>
      </x:c>
      <x:c r="B150" s="7" t="str">
        <x:f>VLOOKUP(A150,'Tasks'!$A$2:$X$224,2,FALSE)</x:f>
        <x:v>Verify SparkPLUS deadline and personal submission reminder</x:v>
      </x:c>
      <x:c r="C150" s="2" t="str">
        <x:f>VLOOKUP(A150,'Tasks'!$A$2:$X$224,9,FALSE)</x:f>
        <x:v>Mohammad</x:v>
      </x:c>
      <x:c r="D150" s="13" t="n">
        <x:f>VLOOKUP(A150,'Tasks'!$A$2:$X$224,12,FALSE)</x:f>
        <x:v>46326</x:v>
      </x:c>
      <x:c r="E150" s="13" t="n">
        <x:f>VLOOKUP(A150,'Tasks'!$A$2:$X$224,13,FALSE)</x:f>
        <x:v>46326</x:v>
      </x:c>
      <x:c r="F150" s="2" t="str">
        <x:f>VLOOKUP(A150,'Tasks'!$A$2:$X$224,22,FALSE)</x:f>
        <x:v>Todo</x:v>
      </x:c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</x:row>
    <x:row r="151" ht="34" customHeight="1">
      <x:c r="A151" s="2" t="str">
        <x:v>DEMO-MOH-R1</x:v>
      </x:c>
      <x:c r="B151" s="7" t="str">
        <x:f>VLOOKUP(A151,'Tasks'!$A$2:$X$224,2,FALSE)</x:f>
        <x:v>Participate in rehearsal one and random Q&amp;A</x:v>
      </x:c>
      <x:c r="C151" s="2" t="str">
        <x:f>VLOOKUP(A151,'Tasks'!$A$2:$X$224,9,FALSE)</x:f>
        <x:v>Mohammad</x:v>
      </x:c>
      <x:c r="D151" s="13" t="n">
        <x:f>VLOOKUP(A151,'Tasks'!$A$2:$X$224,12,FALSE)</x:f>
        <x:v>46325</x:v>
      </x:c>
      <x:c r="E151" s="13" t="n">
        <x:f>VLOOKUP(A151,'Tasks'!$A$2:$X$224,13,FALSE)</x:f>
        <x:v>46325</x:v>
      </x:c>
      <x:c r="F151" s="2" t="str">
        <x:f>VLOOKUP(A151,'Tasks'!$A$2:$X$224,22,FALSE)</x:f>
        <x:v>Todo</x:v>
      </x:c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</x:row>
    <x:row r="152" ht="34" customHeight="1">
      <x:c r="A152" s="2" t="str">
        <x:v>DEMO-MOH-R2</x:v>
      </x:c>
      <x:c r="B152" s="7" t="str">
        <x:f>VLOOKUP(A152,'Tasks'!$A$2:$X$224,2,FALSE)</x:f>
        <x:v>Participate in rehearsal two and cross-module Q&amp;A</x:v>
      </x:c>
      <x:c r="C152" s="2" t="str">
        <x:f>VLOOKUP(A152,'Tasks'!$A$2:$X$224,9,FALSE)</x:f>
        <x:v>Mohammad</x:v>
      </x:c>
      <x:c r="D152" s="13" t="n">
        <x:f>VLOOKUP(A152,'Tasks'!$A$2:$X$224,12,FALSE)</x:f>
        <x:v>46326</x:v>
      </x:c>
      <x:c r="E152" s="13" t="n">
        <x:f>VLOOKUP(A152,'Tasks'!$A$2:$X$224,13,FALSE)</x:f>
        <x:v>46326</x:v>
      </x:c>
      <x:c r="F152" s="2" t="str">
        <x:f>VLOOKUP(A152,'Tasks'!$A$2:$X$224,22,FALSE)</x:f>
        <x:v>Todo</x:v>
      </x:c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</x:row>
    <x:row r="153" ht="34" customHeight="1">
      <x:c r="A153" s="2" t="str">
        <x:v>REV-ABD-1</x:v>
      </x:c>
      <x:c r="B153" s="7" t="str">
        <x:f>VLOOKUP(A153,'Tasks'!$A$2:$X$224,2,FALSE)</x:f>
        <x:v>Review Zhaolin work for Week 1</x:v>
      </x:c>
      <x:c r="C153" s="2" t="str">
        <x:f>VLOOKUP(A153,'Tasks'!$A$2:$X$224,9,FALSE)</x:f>
        <x:v>Abdullah</x:v>
      </x:c>
      <x:c r="D153" s="13" t="n">
        <x:f>VLOOKUP(A153,'Tasks'!$A$2:$X$224,12,FALSE)</x:f>
        <x:v>46307</x:v>
      </x:c>
      <x:c r="E153" s="13" t="n">
        <x:f>VLOOKUP(A153,'Tasks'!$A$2:$X$224,13,FALSE)</x:f>
        <x:v>46313</x:v>
      </x:c>
      <x:c r="F153" s="2" t="str">
        <x:f>VLOOKUP(A153,'Tasks'!$A$2:$X$224,22,FALSE)</x:f>
        <x:v>Todo</x:v>
      </x:c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</x:row>
    <x:row r="154" ht="34" customHeight="1">
      <x:c r="A154" s="2" t="str">
        <x:v>COM-ABD-1</x:v>
      </x:c>
      <x:c r="B154" s="7" t="str">
        <x:f>VLOOKUP(A154,'Tasks'!$A$2:$X$224,2,FALSE)</x:f>
        <x:v>Attend Week 1 integration and cross-training sessions</x:v>
      </x:c>
      <x:c r="C154" s="2" t="str">
        <x:f>VLOOKUP(A154,'Tasks'!$A$2:$X$224,9,FALSE)</x:f>
        <x:v>Abdullah</x:v>
      </x:c>
      <x:c r="D154" s="13" t="n">
        <x:f>VLOOKUP(A154,'Tasks'!$A$2:$X$224,12,FALSE)</x:f>
        <x:v>46307</x:v>
      </x:c>
      <x:c r="E154" s="13" t="n">
        <x:f>VLOOKUP(A154,'Tasks'!$A$2:$X$224,13,FALSE)</x:f>
        <x:v>46313</x:v>
      </x:c>
      <x:c r="F154" s="2" t="str">
        <x:f>VLOOKUP(A154,'Tasks'!$A$2:$X$224,22,FALSE)</x:f>
        <x:v>Todo</x:v>
      </x:c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</x:row>
    <x:row r="155" ht="34" customHeight="1">
      <x:c r="A155" s="2" t="str">
        <x:v>IND-ABD-AI1</x:v>
      </x:c>
      <x:c r="B155" s="7" t="str">
        <x:f>VLOOKUP(A155,'Tasks'!$A$2:$X$224,2,FALSE)</x:f>
        <x:v>Check Week 1 AI Journal and commit disclosures</x:v>
      </x:c>
      <x:c r="C155" s="2" t="str">
        <x:f>VLOOKUP(A155,'Tasks'!$A$2:$X$224,9,FALSE)</x:f>
        <x:v>Abdullah</x:v>
      </x:c>
      <x:c r="D155" s="13" t="n">
        <x:f>VLOOKUP(A155,'Tasks'!$A$2:$X$224,12,FALSE)</x:f>
        <x:v>46313</x:v>
      </x:c>
      <x:c r="E155" s="13" t="n">
        <x:f>VLOOKUP(A155,'Tasks'!$A$2:$X$224,13,FALSE)</x:f>
        <x:v>46313</x:v>
      </x:c>
      <x:c r="F155" s="2" t="str">
        <x:f>VLOOKUP(A155,'Tasks'!$A$2:$X$224,22,FALSE)</x:f>
        <x:v>Todo</x:v>
      </x:c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</x:row>
    <x:row r="156" ht="34" customHeight="1">
      <x:c r="A156" s="2" t="str">
        <x:v>REV-ABD-2</x:v>
      </x:c>
      <x:c r="B156" s="7" t="str">
        <x:f>VLOOKUP(A156,'Tasks'!$A$2:$X$224,2,FALSE)</x:f>
        <x:v>Review Zhaolin work for Week 2</x:v>
      </x:c>
      <x:c r="C156" s="2" t="str">
        <x:f>VLOOKUP(A156,'Tasks'!$A$2:$X$224,9,FALSE)</x:f>
        <x:v>Abdullah</x:v>
      </x:c>
      <x:c r="D156" s="13" t="n">
        <x:f>VLOOKUP(A156,'Tasks'!$A$2:$X$224,12,FALSE)</x:f>
        <x:v>46314</x:v>
      </x:c>
      <x:c r="E156" s="13" t="n">
        <x:f>VLOOKUP(A156,'Tasks'!$A$2:$X$224,13,FALSE)</x:f>
        <x:v>46320</x:v>
      </x:c>
      <x:c r="F156" s="2" t="str">
        <x:f>VLOOKUP(A156,'Tasks'!$A$2:$X$224,22,FALSE)</x:f>
        <x:v>Todo</x:v>
      </x:c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</x:row>
    <x:row r="157" ht="34" customHeight="1">
      <x:c r="A157" s="2" t="str">
        <x:v>COM-ABD-2</x:v>
      </x:c>
      <x:c r="B157" s="7" t="str">
        <x:f>VLOOKUP(A157,'Tasks'!$A$2:$X$224,2,FALSE)</x:f>
        <x:v>Attend Week 2 integration and cross-training sessions</x:v>
      </x:c>
      <x:c r="C157" s="2" t="str">
        <x:f>VLOOKUP(A157,'Tasks'!$A$2:$X$224,9,FALSE)</x:f>
        <x:v>Abdullah</x:v>
      </x:c>
      <x:c r="D157" s="13" t="n">
        <x:f>VLOOKUP(A157,'Tasks'!$A$2:$X$224,12,FALSE)</x:f>
        <x:v>46314</x:v>
      </x:c>
      <x:c r="E157" s="13" t="n">
        <x:f>VLOOKUP(A157,'Tasks'!$A$2:$X$224,13,FALSE)</x:f>
        <x:v>46320</x:v>
      </x:c>
      <x:c r="F157" s="2" t="str">
        <x:f>VLOOKUP(A157,'Tasks'!$A$2:$X$224,22,FALSE)</x:f>
        <x:v>Todo</x:v>
      </x:c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</x:row>
    <x:row r="158" ht="34" customHeight="1">
      <x:c r="A158" s="2" t="str">
        <x:v>IND-ABD-AI2</x:v>
      </x:c>
      <x:c r="B158" s="7" t="str">
        <x:f>VLOOKUP(A158,'Tasks'!$A$2:$X$224,2,FALSE)</x:f>
        <x:v>Check Week 2 AI Journal and commit disclosures</x:v>
      </x:c>
      <x:c r="C158" s="2" t="str">
        <x:f>VLOOKUP(A158,'Tasks'!$A$2:$X$224,9,FALSE)</x:f>
        <x:v>Abdullah</x:v>
      </x:c>
      <x:c r="D158" s="13" t="n">
        <x:f>VLOOKUP(A158,'Tasks'!$A$2:$X$224,12,FALSE)</x:f>
        <x:v>46320</x:v>
      </x:c>
      <x:c r="E158" s="13" t="n">
        <x:f>VLOOKUP(A158,'Tasks'!$A$2:$X$224,13,FALSE)</x:f>
        <x:v>46320</x:v>
      </x:c>
      <x:c r="F158" s="2" t="str">
        <x:f>VLOOKUP(A158,'Tasks'!$A$2:$X$224,22,FALSE)</x:f>
        <x:v>Todo</x:v>
      </x:c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</x:row>
    <x:row r="159" ht="34" customHeight="1">
      <x:c r="A159" s="2" t="str">
        <x:v>REV-ABD-3</x:v>
      </x:c>
      <x:c r="B159" s="7" t="str">
        <x:f>VLOOKUP(A159,'Tasks'!$A$2:$X$224,2,FALSE)</x:f>
        <x:v>Review Zhaolin work for Week 3</x:v>
      </x:c>
      <x:c r="C159" s="2" t="str">
        <x:f>VLOOKUP(A159,'Tasks'!$A$2:$X$224,9,FALSE)</x:f>
        <x:v>Abdullah</x:v>
      </x:c>
      <x:c r="D159" s="13" t="n">
        <x:f>VLOOKUP(A159,'Tasks'!$A$2:$X$224,12,FALSE)</x:f>
        <x:v>46321</x:v>
      </x:c>
      <x:c r="E159" s="13" t="n">
        <x:f>VLOOKUP(A159,'Tasks'!$A$2:$X$224,13,FALSE)</x:f>
        <x:v>46326</x:v>
      </x:c>
      <x:c r="F159" s="2" t="str">
        <x:f>VLOOKUP(A159,'Tasks'!$A$2:$X$224,22,FALSE)</x:f>
        <x:v>Todo</x:v>
      </x:c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</x:row>
    <x:row r="160" ht="34" customHeight="1">
      <x:c r="A160" s="2" t="str">
        <x:v>COM-ABD-3</x:v>
      </x:c>
      <x:c r="B160" s="7" t="str">
        <x:f>VLOOKUP(A160,'Tasks'!$A$2:$X$224,2,FALSE)</x:f>
        <x:v>Attend Week 3 integration and cross-training sessions</x:v>
      </x:c>
      <x:c r="C160" s="2" t="str">
        <x:f>VLOOKUP(A160,'Tasks'!$A$2:$X$224,9,FALSE)</x:f>
        <x:v>Abdullah</x:v>
      </x:c>
      <x:c r="D160" s="13" t="n">
        <x:f>VLOOKUP(A160,'Tasks'!$A$2:$X$224,12,FALSE)</x:f>
        <x:v>46321</x:v>
      </x:c>
      <x:c r="E160" s="13" t="n">
        <x:f>VLOOKUP(A160,'Tasks'!$A$2:$X$224,13,FALSE)</x:f>
        <x:v>46326</x:v>
      </x:c>
      <x:c r="F160" s="2" t="str">
        <x:f>VLOOKUP(A160,'Tasks'!$A$2:$X$224,22,FALSE)</x:f>
        <x:v>Todo</x:v>
      </x:c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</x:row>
    <x:row r="161" ht="34" customHeight="1">
      <x:c r="A161" s="2" t="str">
        <x:v>IND-ABD-AI3</x:v>
      </x:c>
      <x:c r="B161" s="7" t="str">
        <x:f>VLOOKUP(A161,'Tasks'!$A$2:$X$224,2,FALSE)</x:f>
        <x:v>Check Week 3 AI Journal and commit disclosures</x:v>
      </x:c>
      <x:c r="C161" s="2" t="str">
        <x:f>VLOOKUP(A161,'Tasks'!$A$2:$X$224,9,FALSE)</x:f>
        <x:v>Abdullah</x:v>
      </x:c>
      <x:c r="D161" s="13" t="n">
        <x:f>VLOOKUP(A161,'Tasks'!$A$2:$X$224,12,FALSE)</x:f>
        <x:v>46326</x:v>
      </x:c>
      <x:c r="E161" s="13" t="n">
        <x:f>VLOOKUP(A161,'Tasks'!$A$2:$X$224,13,FALSE)</x:f>
        <x:v>46326</x:v>
      </x:c>
      <x:c r="F161" s="2" t="str">
        <x:f>VLOOKUP(A161,'Tasks'!$A$2:$X$224,22,FALSE)</x:f>
        <x:v>Todo</x:v>
      </x:c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</x:row>
    <x:row r="162" ht="34" customHeight="1">
      <x:c r="A162" s="2" t="str">
        <x:v>IND-ABD-REF</x:v>
      </x:c>
      <x:c r="B162" s="7" t="str">
        <x:f>VLOOKUP(A162,'Tasks'!$A$2:$X$224,2,FALSE)</x:f>
        <x:v>Draft and privately check individual self-reflection</x:v>
      </x:c>
      <x:c r="C162" s="2" t="str">
        <x:f>VLOOKUP(A162,'Tasks'!$A$2:$X$224,9,FALSE)</x:f>
        <x:v>Abdullah</x:v>
      </x:c>
      <x:c r="D162" s="13" t="n">
        <x:f>VLOOKUP(A162,'Tasks'!$A$2:$X$224,12,FALSE)</x:f>
        <x:v>46325</x:v>
      </x:c>
      <x:c r="E162" s="13" t="n">
        <x:f>VLOOKUP(A162,'Tasks'!$A$2:$X$224,13,FALSE)</x:f>
        <x:v>46325</x:v>
      </x:c>
      <x:c r="F162" s="2" t="str">
        <x:f>VLOOKUP(A162,'Tasks'!$A$2:$X$224,22,FALSE)</x:f>
        <x:v>Todo</x:v>
      </x:c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</x:row>
    <x:row r="163" ht="34" customHeight="1">
      <x:c r="A163" s="2" t="str">
        <x:v>IND-ABD-PEER</x:v>
      </x:c>
      <x:c r="B163" s="7" t="str">
        <x:f>VLOOKUP(A163,'Tasks'!$A$2:$X$224,2,FALSE)</x:f>
        <x:v>Prepare peer-reflection forms and verify lab attendance</x:v>
      </x:c>
      <x:c r="C163" s="2" t="str">
        <x:f>VLOOKUP(A163,'Tasks'!$A$2:$X$224,9,FALSE)</x:f>
        <x:v>Abdullah</x:v>
      </x:c>
      <x:c r="D163" s="13" t="n">
        <x:f>VLOOKUP(A163,'Tasks'!$A$2:$X$224,12,FALSE)</x:f>
        <x:v>46326</x:v>
      </x:c>
      <x:c r="E163" s="13" t="n">
        <x:f>VLOOKUP(A163,'Tasks'!$A$2:$X$224,13,FALSE)</x:f>
        <x:v>46326</x:v>
      </x:c>
      <x:c r="F163" s="2" t="str">
        <x:f>VLOOKUP(A163,'Tasks'!$A$2:$X$224,22,FALSE)</x:f>
        <x:v>Todo</x:v>
      </x:c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</x:row>
    <x:row r="164" ht="34" customHeight="1">
      <x:c r="A164" s="2" t="str">
        <x:v>IND-ABD-SPARK</x:v>
      </x:c>
      <x:c r="B164" s="7" t="str">
        <x:f>VLOOKUP(A164,'Tasks'!$A$2:$X$224,2,FALSE)</x:f>
        <x:v>Verify SparkPLUS deadline and personal submission reminder</x:v>
      </x:c>
      <x:c r="C164" s="2" t="str">
        <x:f>VLOOKUP(A164,'Tasks'!$A$2:$X$224,9,FALSE)</x:f>
        <x:v>Abdullah</x:v>
      </x:c>
      <x:c r="D164" s="13" t="n">
        <x:f>VLOOKUP(A164,'Tasks'!$A$2:$X$224,12,FALSE)</x:f>
        <x:v>46326</x:v>
      </x:c>
      <x:c r="E164" s="13" t="n">
        <x:f>VLOOKUP(A164,'Tasks'!$A$2:$X$224,13,FALSE)</x:f>
        <x:v>46326</x:v>
      </x:c>
      <x:c r="F164" s="2" t="str">
        <x:f>VLOOKUP(A164,'Tasks'!$A$2:$X$224,22,FALSE)</x:f>
        <x:v>Todo</x:v>
      </x:c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</x:row>
    <x:row r="165" ht="34" customHeight="1">
      <x:c r="A165" s="2" t="str">
        <x:v>DEMO-ABD-R2</x:v>
      </x:c>
      <x:c r="B165" s="7" t="str">
        <x:f>VLOOKUP(A165,'Tasks'!$A$2:$X$224,2,FALSE)</x:f>
        <x:v>Participate in rehearsal two and cross-module Q&amp;A</x:v>
      </x:c>
      <x:c r="C165" s="2" t="str">
        <x:f>VLOOKUP(A165,'Tasks'!$A$2:$X$224,9,FALSE)</x:f>
        <x:v>Abdullah</x:v>
      </x:c>
      <x:c r="D165" s="13" t="n">
        <x:f>VLOOKUP(A165,'Tasks'!$A$2:$X$224,12,FALSE)</x:f>
        <x:v>46326</x:v>
      </x:c>
      <x:c r="E165" s="13" t="n">
        <x:f>VLOOKUP(A165,'Tasks'!$A$2:$X$224,13,FALSE)</x:f>
        <x:v>46326</x:v>
      </x:c>
      <x:c r="F165" s="2" t="str">
        <x:f>VLOOKUP(A165,'Tasks'!$A$2:$X$224,22,FALSE)</x:f>
        <x:v>Todo</x:v>
      </x:c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</x:row>
    <x:row r="166" ht="34" customHeight="1">
      <x:c r="A166" s="2" t="str">
        <x:v>REV-RIC-1</x:v>
      </x:c>
      <x:c r="B166" s="7" t="str">
        <x:f>VLOOKUP(A166,'Tasks'!$A$2:$X$224,2,FALSE)</x:f>
        <x:v>Review Saviour work for Week 1</x:v>
      </x:c>
      <x:c r="C166" s="2" t="str">
        <x:f>VLOOKUP(A166,'Tasks'!$A$2:$X$224,9,FALSE)</x:f>
        <x:v>Ricky</x:v>
      </x:c>
      <x:c r="D166" s="13" t="n">
        <x:f>VLOOKUP(A166,'Tasks'!$A$2:$X$224,12,FALSE)</x:f>
        <x:v>46307</x:v>
      </x:c>
      <x:c r="E166" s="13" t="n">
        <x:f>VLOOKUP(A166,'Tasks'!$A$2:$X$224,13,FALSE)</x:f>
        <x:v>46313</x:v>
      </x:c>
      <x:c r="F166" s="2" t="str">
        <x:f>VLOOKUP(A166,'Tasks'!$A$2:$X$224,22,FALSE)</x:f>
        <x:v>Todo</x:v>
      </x:c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</x:row>
    <x:row r="167" ht="34" customHeight="1">
      <x:c r="A167" s="2" t="str">
        <x:v>COM-RIC-1</x:v>
      </x:c>
      <x:c r="B167" s="7" t="str">
        <x:f>VLOOKUP(A167,'Tasks'!$A$2:$X$224,2,FALSE)</x:f>
        <x:v>Attend Week 1 integration and cross-training sessions</x:v>
      </x:c>
      <x:c r="C167" s="2" t="str">
        <x:f>VLOOKUP(A167,'Tasks'!$A$2:$X$224,9,FALSE)</x:f>
        <x:v>Ricky</x:v>
      </x:c>
      <x:c r="D167" s="13" t="n">
        <x:f>VLOOKUP(A167,'Tasks'!$A$2:$X$224,12,FALSE)</x:f>
        <x:v>46307</x:v>
      </x:c>
      <x:c r="E167" s="13" t="n">
        <x:f>VLOOKUP(A167,'Tasks'!$A$2:$X$224,13,FALSE)</x:f>
        <x:v>46313</x:v>
      </x:c>
      <x:c r="F167" s="2" t="str">
        <x:f>VLOOKUP(A167,'Tasks'!$A$2:$X$224,22,FALSE)</x:f>
        <x:v>Todo</x:v>
      </x:c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</x:row>
    <x:row r="168" ht="34" customHeight="1">
      <x:c r="A168" s="2" t="str">
        <x:v>IND-RIC-AI1</x:v>
      </x:c>
      <x:c r="B168" s="7" t="str">
        <x:f>VLOOKUP(A168,'Tasks'!$A$2:$X$224,2,FALSE)</x:f>
        <x:v>Check Week 1 AI Journal and commit disclosures</x:v>
      </x:c>
      <x:c r="C168" s="2" t="str">
        <x:f>VLOOKUP(A168,'Tasks'!$A$2:$X$224,9,FALSE)</x:f>
        <x:v>Ricky</x:v>
      </x:c>
      <x:c r="D168" s="13" t="n">
        <x:f>VLOOKUP(A168,'Tasks'!$A$2:$X$224,12,FALSE)</x:f>
        <x:v>46313</x:v>
      </x:c>
      <x:c r="E168" s="13" t="n">
        <x:f>VLOOKUP(A168,'Tasks'!$A$2:$X$224,13,FALSE)</x:f>
        <x:v>46313</x:v>
      </x:c>
      <x:c r="F168" s="2" t="str">
        <x:f>VLOOKUP(A168,'Tasks'!$A$2:$X$224,22,FALSE)</x:f>
        <x:v>Todo</x:v>
      </x:c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</x:row>
    <x:row r="169" ht="34" customHeight="1">
      <x:c r="A169" s="2" t="str">
        <x:v>REV-RIC-2</x:v>
      </x:c>
      <x:c r="B169" s="7" t="str">
        <x:f>VLOOKUP(A169,'Tasks'!$A$2:$X$224,2,FALSE)</x:f>
        <x:v>Review Saviour work for Week 2</x:v>
      </x:c>
      <x:c r="C169" s="2" t="str">
        <x:f>VLOOKUP(A169,'Tasks'!$A$2:$X$224,9,FALSE)</x:f>
        <x:v>Ricky</x:v>
      </x:c>
      <x:c r="D169" s="13" t="n">
        <x:f>VLOOKUP(A169,'Tasks'!$A$2:$X$224,12,FALSE)</x:f>
        <x:v>46314</x:v>
      </x:c>
      <x:c r="E169" s="13" t="n">
        <x:f>VLOOKUP(A169,'Tasks'!$A$2:$X$224,13,FALSE)</x:f>
        <x:v>46320</x:v>
      </x:c>
      <x:c r="F169" s="2" t="str">
        <x:f>VLOOKUP(A169,'Tasks'!$A$2:$X$224,22,FALSE)</x:f>
        <x:v>Todo</x:v>
      </x:c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</x:row>
    <x:row r="170" ht="34" customHeight="1">
      <x:c r="A170" s="2" t="str">
        <x:v>COM-RIC-2</x:v>
      </x:c>
      <x:c r="B170" s="7" t="str">
        <x:f>VLOOKUP(A170,'Tasks'!$A$2:$X$224,2,FALSE)</x:f>
        <x:v>Attend Week 2 integration and cross-training sessions</x:v>
      </x:c>
      <x:c r="C170" s="2" t="str">
        <x:f>VLOOKUP(A170,'Tasks'!$A$2:$X$224,9,FALSE)</x:f>
        <x:v>Ricky</x:v>
      </x:c>
      <x:c r="D170" s="13" t="n">
        <x:f>VLOOKUP(A170,'Tasks'!$A$2:$X$224,12,FALSE)</x:f>
        <x:v>46314</x:v>
      </x:c>
      <x:c r="E170" s="13" t="n">
        <x:f>VLOOKUP(A170,'Tasks'!$A$2:$X$224,13,FALSE)</x:f>
        <x:v>46320</x:v>
      </x:c>
      <x:c r="F170" s="2" t="str">
        <x:f>VLOOKUP(A170,'Tasks'!$A$2:$X$224,22,FALSE)</x:f>
        <x:v>Todo</x:v>
      </x:c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</x:row>
    <x:row r="171" ht="34" customHeight="1">
      <x:c r="A171" s="2" t="str">
        <x:v>IND-RIC-AI2</x:v>
      </x:c>
      <x:c r="B171" s="7" t="str">
        <x:f>VLOOKUP(A171,'Tasks'!$A$2:$X$224,2,FALSE)</x:f>
        <x:v>Check Week 2 AI Journal and commit disclosures</x:v>
      </x:c>
      <x:c r="C171" s="2" t="str">
        <x:f>VLOOKUP(A171,'Tasks'!$A$2:$X$224,9,FALSE)</x:f>
        <x:v>Ricky</x:v>
      </x:c>
      <x:c r="D171" s="13" t="n">
        <x:f>VLOOKUP(A171,'Tasks'!$A$2:$X$224,12,FALSE)</x:f>
        <x:v>46320</x:v>
      </x:c>
      <x:c r="E171" s="13" t="n">
        <x:f>VLOOKUP(A171,'Tasks'!$A$2:$X$224,13,FALSE)</x:f>
        <x:v>46320</x:v>
      </x:c>
      <x:c r="F171" s="2" t="str">
        <x:f>VLOOKUP(A171,'Tasks'!$A$2:$X$224,22,FALSE)</x:f>
        <x:v>Todo</x:v>
      </x:c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</x:row>
    <x:row r="172" ht="34" customHeight="1">
      <x:c r="A172" s="2" t="str">
        <x:v>REV-RIC-3</x:v>
      </x:c>
      <x:c r="B172" s="7" t="str">
        <x:f>VLOOKUP(A172,'Tasks'!$A$2:$X$224,2,FALSE)</x:f>
        <x:v>Review Saviour work for Week 3</x:v>
      </x:c>
      <x:c r="C172" s="2" t="str">
        <x:f>VLOOKUP(A172,'Tasks'!$A$2:$X$224,9,FALSE)</x:f>
        <x:v>Ricky</x:v>
      </x:c>
      <x:c r="D172" s="13" t="n">
        <x:f>VLOOKUP(A172,'Tasks'!$A$2:$X$224,12,FALSE)</x:f>
        <x:v>46321</x:v>
      </x:c>
      <x:c r="E172" s="13" t="n">
        <x:f>VLOOKUP(A172,'Tasks'!$A$2:$X$224,13,FALSE)</x:f>
        <x:v>46326</x:v>
      </x:c>
      <x:c r="F172" s="2" t="str">
        <x:f>VLOOKUP(A172,'Tasks'!$A$2:$X$224,22,FALSE)</x:f>
        <x:v>Todo</x:v>
      </x:c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</x:row>
    <x:row r="173" ht="34" customHeight="1">
      <x:c r="A173" s="2" t="str">
        <x:v>COM-RIC-3</x:v>
      </x:c>
      <x:c r="B173" s="7" t="str">
        <x:f>VLOOKUP(A173,'Tasks'!$A$2:$X$224,2,FALSE)</x:f>
        <x:v>Attend Week 3 integration and cross-training sessions</x:v>
      </x:c>
      <x:c r="C173" s="2" t="str">
        <x:f>VLOOKUP(A173,'Tasks'!$A$2:$X$224,9,FALSE)</x:f>
        <x:v>Ricky</x:v>
      </x:c>
      <x:c r="D173" s="13" t="n">
        <x:f>VLOOKUP(A173,'Tasks'!$A$2:$X$224,12,FALSE)</x:f>
        <x:v>46321</x:v>
      </x:c>
      <x:c r="E173" s="13" t="n">
        <x:f>VLOOKUP(A173,'Tasks'!$A$2:$X$224,13,FALSE)</x:f>
        <x:v>46326</x:v>
      </x:c>
      <x:c r="F173" s="2" t="str">
        <x:f>VLOOKUP(A173,'Tasks'!$A$2:$X$224,22,FALSE)</x:f>
        <x:v>Todo</x:v>
      </x:c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</x:row>
    <x:row r="174" ht="34" customHeight="1">
      <x:c r="A174" s="2" t="str">
        <x:v>IND-RIC-AI3</x:v>
      </x:c>
      <x:c r="B174" s="7" t="str">
        <x:f>VLOOKUP(A174,'Tasks'!$A$2:$X$224,2,FALSE)</x:f>
        <x:v>Check Week 3 AI Journal and commit disclosures</x:v>
      </x:c>
      <x:c r="C174" s="2" t="str">
        <x:f>VLOOKUP(A174,'Tasks'!$A$2:$X$224,9,FALSE)</x:f>
        <x:v>Ricky</x:v>
      </x:c>
      <x:c r="D174" s="13" t="n">
        <x:f>VLOOKUP(A174,'Tasks'!$A$2:$X$224,12,FALSE)</x:f>
        <x:v>46326</x:v>
      </x:c>
      <x:c r="E174" s="13" t="n">
        <x:f>VLOOKUP(A174,'Tasks'!$A$2:$X$224,13,FALSE)</x:f>
        <x:v>46326</x:v>
      </x:c>
      <x:c r="F174" s="2" t="str">
        <x:f>VLOOKUP(A174,'Tasks'!$A$2:$X$224,22,FALSE)</x:f>
        <x:v>Todo</x:v>
      </x:c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</x:row>
    <x:row r="175" ht="34" customHeight="1">
      <x:c r="A175" s="2" t="str">
        <x:v>IND-RIC-REF</x:v>
      </x:c>
      <x:c r="B175" s="7" t="str">
        <x:f>VLOOKUP(A175,'Tasks'!$A$2:$X$224,2,FALSE)</x:f>
        <x:v>Draft and privately check individual self-reflection</x:v>
      </x:c>
      <x:c r="C175" s="2" t="str">
        <x:f>VLOOKUP(A175,'Tasks'!$A$2:$X$224,9,FALSE)</x:f>
        <x:v>Ricky</x:v>
      </x:c>
      <x:c r="D175" s="13" t="n">
        <x:f>VLOOKUP(A175,'Tasks'!$A$2:$X$224,12,FALSE)</x:f>
        <x:v>46325</x:v>
      </x:c>
      <x:c r="E175" s="13" t="n">
        <x:f>VLOOKUP(A175,'Tasks'!$A$2:$X$224,13,FALSE)</x:f>
        <x:v>46325</x:v>
      </x:c>
      <x:c r="F175" s="2" t="str">
        <x:f>VLOOKUP(A175,'Tasks'!$A$2:$X$224,22,FALSE)</x:f>
        <x:v>Todo</x:v>
      </x:c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</x:row>
    <x:row r="176" ht="34" customHeight="1">
      <x:c r="A176" s="2" t="str">
        <x:v>IND-RIC-PEER</x:v>
      </x:c>
      <x:c r="B176" s="7" t="str">
        <x:f>VLOOKUP(A176,'Tasks'!$A$2:$X$224,2,FALSE)</x:f>
        <x:v>Prepare peer-reflection forms and verify lab attendance</x:v>
      </x:c>
      <x:c r="C176" s="2" t="str">
        <x:f>VLOOKUP(A176,'Tasks'!$A$2:$X$224,9,FALSE)</x:f>
        <x:v>Ricky</x:v>
      </x:c>
      <x:c r="D176" s="13" t="n">
        <x:f>VLOOKUP(A176,'Tasks'!$A$2:$X$224,12,FALSE)</x:f>
        <x:v>46326</x:v>
      </x:c>
      <x:c r="E176" s="13" t="n">
        <x:f>VLOOKUP(A176,'Tasks'!$A$2:$X$224,13,FALSE)</x:f>
        <x:v>46326</x:v>
      </x:c>
      <x:c r="F176" s="2" t="str">
        <x:f>VLOOKUP(A176,'Tasks'!$A$2:$X$224,22,FALSE)</x:f>
        <x:v>Todo</x:v>
      </x:c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</x:row>
    <x:row r="177" ht="34" customHeight="1">
      <x:c r="A177" s="2" t="str">
        <x:v>IND-RIC-SPARK</x:v>
      </x:c>
      <x:c r="B177" s="7" t="str">
        <x:f>VLOOKUP(A177,'Tasks'!$A$2:$X$224,2,FALSE)</x:f>
        <x:v>Verify SparkPLUS deadline and personal submission reminder</x:v>
      </x:c>
      <x:c r="C177" s="2" t="str">
        <x:f>VLOOKUP(A177,'Tasks'!$A$2:$X$224,9,FALSE)</x:f>
        <x:v>Ricky</x:v>
      </x:c>
      <x:c r="D177" s="13" t="n">
        <x:f>VLOOKUP(A177,'Tasks'!$A$2:$X$224,12,FALSE)</x:f>
        <x:v>46326</x:v>
      </x:c>
      <x:c r="E177" s="13" t="n">
        <x:f>VLOOKUP(A177,'Tasks'!$A$2:$X$224,13,FALSE)</x:f>
        <x:v>46326</x:v>
      </x:c>
      <x:c r="F177" s="2" t="str">
        <x:f>VLOOKUP(A177,'Tasks'!$A$2:$X$224,22,FALSE)</x:f>
        <x:v>Todo</x:v>
      </x:c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</x:row>
    <x:row r="178" ht="34" customHeight="1">
      <x:c r="A178" s="2" t="str">
        <x:v>DEMO-RIC-R1</x:v>
      </x:c>
      <x:c r="B178" s="7" t="str">
        <x:f>VLOOKUP(A178,'Tasks'!$A$2:$X$224,2,FALSE)</x:f>
        <x:v>Participate in rehearsal one and random Q&amp;A</x:v>
      </x:c>
      <x:c r="C178" s="2" t="str">
        <x:f>VLOOKUP(A178,'Tasks'!$A$2:$X$224,9,FALSE)</x:f>
        <x:v>Ricky</x:v>
      </x:c>
      <x:c r="D178" s="13" t="n">
        <x:f>VLOOKUP(A178,'Tasks'!$A$2:$X$224,12,FALSE)</x:f>
        <x:v>46325</x:v>
      </x:c>
      <x:c r="E178" s="13" t="n">
        <x:f>VLOOKUP(A178,'Tasks'!$A$2:$X$224,13,FALSE)</x:f>
        <x:v>46325</x:v>
      </x:c>
      <x:c r="F178" s="2" t="str">
        <x:f>VLOOKUP(A178,'Tasks'!$A$2:$X$224,22,FALSE)</x:f>
        <x:v>Todo</x:v>
      </x:c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</x:row>
    <x:row r="179" ht="34" customHeight="1">
      <x:c r="A179" s="2" t="str">
        <x:v>DEMO-RIC-R2</x:v>
      </x:c>
      <x:c r="B179" s="7" t="str">
        <x:f>VLOOKUP(A179,'Tasks'!$A$2:$X$224,2,FALSE)</x:f>
        <x:v>Participate in rehearsal two and cross-module Q&amp;A</x:v>
      </x:c>
      <x:c r="C179" s="2" t="str">
        <x:f>VLOOKUP(A179,'Tasks'!$A$2:$X$224,9,FALSE)</x:f>
        <x:v>Ricky</x:v>
      </x:c>
      <x:c r="D179" s="13" t="n">
        <x:f>VLOOKUP(A179,'Tasks'!$A$2:$X$224,12,FALSE)</x:f>
        <x:v>46326</x:v>
      </x:c>
      <x:c r="E179" s="13" t="n">
        <x:f>VLOOKUP(A179,'Tasks'!$A$2:$X$224,13,FALSE)</x:f>
        <x:v>46326</x:v>
      </x:c>
      <x:c r="F179" s="2" t="str">
        <x:f>VLOOKUP(A179,'Tasks'!$A$2:$X$224,22,FALSE)</x:f>
        <x:v>Todo</x:v>
      </x:c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</x:row>
    <x:row r="180" ht="34" customHeight="1">
      <x:c r="A180" s="2" t="str">
        <x:v>REV-ALA-1</x:v>
      </x:c>
      <x:c r="B180" s="7" t="str">
        <x:f>VLOOKUP(A180,'Tasks'!$A$2:$X$224,2,FALSE)</x:f>
        <x:v>Review Mohammad work for Week 1</x:v>
      </x:c>
      <x:c r="C180" s="2" t="str">
        <x:f>VLOOKUP(A180,'Tasks'!$A$2:$X$224,9,FALSE)</x:f>
        <x:v>Alan</x:v>
      </x:c>
      <x:c r="D180" s="13" t="n">
        <x:f>VLOOKUP(A180,'Tasks'!$A$2:$X$224,12,FALSE)</x:f>
        <x:v>46307</x:v>
      </x:c>
      <x:c r="E180" s="13" t="n">
        <x:f>VLOOKUP(A180,'Tasks'!$A$2:$X$224,13,FALSE)</x:f>
        <x:v>46313</x:v>
      </x:c>
      <x:c r="F180" s="2" t="str">
        <x:f>VLOOKUP(A180,'Tasks'!$A$2:$X$224,22,FALSE)</x:f>
        <x:v>Todo</x:v>
      </x:c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</x:row>
    <x:row r="181" ht="34" customHeight="1">
      <x:c r="A181" s="2" t="str">
        <x:v>COM-ALA-1</x:v>
      </x:c>
      <x:c r="B181" s="7" t="str">
        <x:f>VLOOKUP(A181,'Tasks'!$A$2:$X$224,2,FALSE)</x:f>
        <x:v>Attend Week 1 integration and cross-training sessions</x:v>
      </x:c>
      <x:c r="C181" s="2" t="str">
        <x:f>VLOOKUP(A181,'Tasks'!$A$2:$X$224,9,FALSE)</x:f>
        <x:v>Alan</x:v>
      </x:c>
      <x:c r="D181" s="13" t="n">
        <x:f>VLOOKUP(A181,'Tasks'!$A$2:$X$224,12,FALSE)</x:f>
        <x:v>46307</x:v>
      </x:c>
      <x:c r="E181" s="13" t="n">
        <x:f>VLOOKUP(A181,'Tasks'!$A$2:$X$224,13,FALSE)</x:f>
        <x:v>46313</x:v>
      </x:c>
      <x:c r="F181" s="2" t="str">
        <x:f>VLOOKUP(A181,'Tasks'!$A$2:$X$224,22,FALSE)</x:f>
        <x:v>Todo</x:v>
      </x:c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</x:row>
    <x:row r="182" ht="34" customHeight="1">
      <x:c r="A182" s="2" t="str">
        <x:v>IND-ALA-AI1</x:v>
      </x:c>
      <x:c r="B182" s="7" t="str">
        <x:f>VLOOKUP(A182,'Tasks'!$A$2:$X$224,2,FALSE)</x:f>
        <x:v>Check Week 1 AI Journal and commit disclosures</x:v>
      </x:c>
      <x:c r="C182" s="2" t="str">
        <x:f>VLOOKUP(A182,'Tasks'!$A$2:$X$224,9,FALSE)</x:f>
        <x:v>Alan</x:v>
      </x:c>
      <x:c r="D182" s="13" t="n">
        <x:f>VLOOKUP(A182,'Tasks'!$A$2:$X$224,12,FALSE)</x:f>
        <x:v>46313</x:v>
      </x:c>
      <x:c r="E182" s="13" t="n">
        <x:f>VLOOKUP(A182,'Tasks'!$A$2:$X$224,13,FALSE)</x:f>
        <x:v>46313</x:v>
      </x:c>
      <x:c r="F182" s="2" t="str">
        <x:f>VLOOKUP(A182,'Tasks'!$A$2:$X$224,22,FALSE)</x:f>
        <x:v>Todo</x:v>
      </x:c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</x:row>
    <x:row r="183" ht="34" customHeight="1">
      <x:c r="A183" s="2" t="str">
        <x:v>REV-ALA-2</x:v>
      </x:c>
      <x:c r="B183" s="7" t="str">
        <x:f>VLOOKUP(A183,'Tasks'!$A$2:$X$224,2,FALSE)</x:f>
        <x:v>Review Mohammad work for Week 2</x:v>
      </x:c>
      <x:c r="C183" s="2" t="str">
        <x:f>VLOOKUP(A183,'Tasks'!$A$2:$X$224,9,FALSE)</x:f>
        <x:v>Alan</x:v>
      </x:c>
      <x:c r="D183" s="13" t="n">
        <x:f>VLOOKUP(A183,'Tasks'!$A$2:$X$224,12,FALSE)</x:f>
        <x:v>46314</x:v>
      </x:c>
      <x:c r="E183" s="13" t="n">
        <x:f>VLOOKUP(A183,'Tasks'!$A$2:$X$224,13,FALSE)</x:f>
        <x:v>46320</x:v>
      </x:c>
      <x:c r="F183" s="2" t="str">
        <x:f>VLOOKUP(A183,'Tasks'!$A$2:$X$224,22,FALSE)</x:f>
        <x:v>Todo</x:v>
      </x:c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</x:row>
    <x:row r="184" ht="34" customHeight="1">
      <x:c r="A184" s="2" t="str">
        <x:v>COM-ALA-2</x:v>
      </x:c>
      <x:c r="B184" s="7" t="str">
        <x:f>VLOOKUP(A184,'Tasks'!$A$2:$X$224,2,FALSE)</x:f>
        <x:v>Attend Week 2 integration and cross-training sessions</x:v>
      </x:c>
      <x:c r="C184" s="2" t="str">
        <x:f>VLOOKUP(A184,'Tasks'!$A$2:$X$224,9,FALSE)</x:f>
        <x:v>Alan</x:v>
      </x:c>
      <x:c r="D184" s="13" t="n">
        <x:f>VLOOKUP(A184,'Tasks'!$A$2:$X$224,12,FALSE)</x:f>
        <x:v>46314</x:v>
      </x:c>
      <x:c r="E184" s="13" t="n">
        <x:f>VLOOKUP(A184,'Tasks'!$A$2:$X$224,13,FALSE)</x:f>
        <x:v>46320</x:v>
      </x:c>
      <x:c r="F184" s="2" t="str">
        <x:f>VLOOKUP(A184,'Tasks'!$A$2:$X$224,22,FALSE)</x:f>
        <x:v>Todo</x:v>
      </x:c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</x:row>
    <x:row r="185" ht="34" customHeight="1">
      <x:c r="A185" s="2" t="str">
        <x:v>IND-ALA-AI2</x:v>
      </x:c>
      <x:c r="B185" s="7" t="str">
        <x:f>VLOOKUP(A185,'Tasks'!$A$2:$X$224,2,FALSE)</x:f>
        <x:v>Check Week 2 AI Journal and commit disclosures</x:v>
      </x:c>
      <x:c r="C185" s="2" t="str">
        <x:f>VLOOKUP(A185,'Tasks'!$A$2:$X$224,9,FALSE)</x:f>
        <x:v>Alan</x:v>
      </x:c>
      <x:c r="D185" s="13" t="n">
        <x:f>VLOOKUP(A185,'Tasks'!$A$2:$X$224,12,FALSE)</x:f>
        <x:v>46320</x:v>
      </x:c>
      <x:c r="E185" s="13" t="n">
        <x:f>VLOOKUP(A185,'Tasks'!$A$2:$X$224,13,FALSE)</x:f>
        <x:v>46320</x:v>
      </x:c>
      <x:c r="F185" s="2" t="str">
        <x:f>VLOOKUP(A185,'Tasks'!$A$2:$X$224,22,FALSE)</x:f>
        <x:v>Todo</x:v>
      </x:c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</x:row>
    <x:row r="186" ht="34" customHeight="1">
      <x:c r="A186" s="2" t="str">
        <x:v>REV-ALA-3</x:v>
      </x:c>
      <x:c r="B186" s="7" t="str">
        <x:f>VLOOKUP(A186,'Tasks'!$A$2:$X$224,2,FALSE)</x:f>
        <x:v>Review Mohammad work for Week 3</x:v>
      </x:c>
      <x:c r="C186" s="2" t="str">
        <x:f>VLOOKUP(A186,'Tasks'!$A$2:$X$224,9,FALSE)</x:f>
        <x:v>Alan</x:v>
      </x:c>
      <x:c r="D186" s="13" t="n">
        <x:f>VLOOKUP(A186,'Tasks'!$A$2:$X$224,12,FALSE)</x:f>
        <x:v>46321</x:v>
      </x:c>
      <x:c r="E186" s="13" t="n">
        <x:f>VLOOKUP(A186,'Tasks'!$A$2:$X$224,13,FALSE)</x:f>
        <x:v>46326</x:v>
      </x:c>
      <x:c r="F186" s="2" t="str">
        <x:f>VLOOKUP(A186,'Tasks'!$A$2:$X$224,22,FALSE)</x:f>
        <x:v>Todo</x:v>
      </x:c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</x:row>
    <x:row r="187" ht="34" customHeight="1">
      <x:c r="A187" s="2" t="str">
        <x:v>COM-ALA-3</x:v>
      </x:c>
      <x:c r="B187" s="7" t="str">
        <x:f>VLOOKUP(A187,'Tasks'!$A$2:$X$224,2,FALSE)</x:f>
        <x:v>Attend Week 3 integration and cross-training sessions</x:v>
      </x:c>
      <x:c r="C187" s="2" t="str">
        <x:f>VLOOKUP(A187,'Tasks'!$A$2:$X$224,9,FALSE)</x:f>
        <x:v>Alan</x:v>
      </x:c>
      <x:c r="D187" s="13" t="n">
        <x:f>VLOOKUP(A187,'Tasks'!$A$2:$X$224,12,FALSE)</x:f>
        <x:v>46321</x:v>
      </x:c>
      <x:c r="E187" s="13" t="n">
        <x:f>VLOOKUP(A187,'Tasks'!$A$2:$X$224,13,FALSE)</x:f>
        <x:v>46326</x:v>
      </x:c>
      <x:c r="F187" s="2" t="str">
        <x:f>VLOOKUP(A187,'Tasks'!$A$2:$X$224,22,FALSE)</x:f>
        <x:v>Todo</x:v>
      </x:c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</x:row>
    <x:row r="188" ht="34" customHeight="1">
      <x:c r="A188" s="2" t="str">
        <x:v>IND-ALA-AI3</x:v>
      </x:c>
      <x:c r="B188" s="7" t="str">
        <x:f>VLOOKUP(A188,'Tasks'!$A$2:$X$224,2,FALSE)</x:f>
        <x:v>Check Week 3 AI Journal and commit disclosures</x:v>
      </x:c>
      <x:c r="C188" s="2" t="str">
        <x:f>VLOOKUP(A188,'Tasks'!$A$2:$X$224,9,FALSE)</x:f>
        <x:v>Alan</x:v>
      </x:c>
      <x:c r="D188" s="13" t="n">
        <x:f>VLOOKUP(A188,'Tasks'!$A$2:$X$224,12,FALSE)</x:f>
        <x:v>46326</x:v>
      </x:c>
      <x:c r="E188" s="13" t="n">
        <x:f>VLOOKUP(A188,'Tasks'!$A$2:$X$224,13,FALSE)</x:f>
        <x:v>46326</x:v>
      </x:c>
      <x:c r="F188" s="2" t="str">
        <x:f>VLOOKUP(A188,'Tasks'!$A$2:$X$224,22,FALSE)</x:f>
        <x:v>Todo</x:v>
      </x:c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</x:row>
    <x:row r="189" ht="34" customHeight="1">
      <x:c r="A189" s="2" t="str">
        <x:v>IND-ALA-REF</x:v>
      </x:c>
      <x:c r="B189" s="7" t="str">
        <x:f>VLOOKUP(A189,'Tasks'!$A$2:$X$224,2,FALSE)</x:f>
        <x:v>Draft and privately check individual self-reflection</x:v>
      </x:c>
      <x:c r="C189" s="2" t="str">
        <x:f>VLOOKUP(A189,'Tasks'!$A$2:$X$224,9,FALSE)</x:f>
        <x:v>Alan</x:v>
      </x:c>
      <x:c r="D189" s="13" t="n">
        <x:f>VLOOKUP(A189,'Tasks'!$A$2:$X$224,12,FALSE)</x:f>
        <x:v>46325</x:v>
      </x:c>
      <x:c r="E189" s="13" t="n">
        <x:f>VLOOKUP(A189,'Tasks'!$A$2:$X$224,13,FALSE)</x:f>
        <x:v>46325</x:v>
      </x:c>
      <x:c r="F189" s="2" t="str">
        <x:f>VLOOKUP(A189,'Tasks'!$A$2:$X$224,22,FALSE)</x:f>
        <x:v>Todo</x:v>
      </x:c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</x:row>
    <x:row r="190" ht="34" customHeight="1">
      <x:c r="A190" s="2" t="str">
        <x:v>IND-ALA-PEER</x:v>
      </x:c>
      <x:c r="B190" s="7" t="str">
        <x:f>VLOOKUP(A190,'Tasks'!$A$2:$X$224,2,FALSE)</x:f>
        <x:v>Prepare peer-reflection forms and verify lab attendance</x:v>
      </x:c>
      <x:c r="C190" s="2" t="str">
        <x:f>VLOOKUP(A190,'Tasks'!$A$2:$X$224,9,FALSE)</x:f>
        <x:v>Alan</x:v>
      </x:c>
      <x:c r="D190" s="13" t="n">
        <x:f>VLOOKUP(A190,'Tasks'!$A$2:$X$224,12,FALSE)</x:f>
        <x:v>46326</x:v>
      </x:c>
      <x:c r="E190" s="13" t="n">
        <x:f>VLOOKUP(A190,'Tasks'!$A$2:$X$224,13,FALSE)</x:f>
        <x:v>46326</x:v>
      </x:c>
      <x:c r="F190" s="2" t="str">
        <x:f>VLOOKUP(A190,'Tasks'!$A$2:$X$224,22,FALSE)</x:f>
        <x:v>Todo</x:v>
      </x:c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</x:row>
    <x:row r="191" ht="34" customHeight="1">
      <x:c r="A191" s="2" t="str">
        <x:v>IND-ALA-SPARK</x:v>
      </x:c>
      <x:c r="B191" s="7" t="str">
        <x:f>VLOOKUP(A191,'Tasks'!$A$2:$X$224,2,FALSE)</x:f>
        <x:v>Verify SparkPLUS deadline and personal submission reminder</x:v>
      </x:c>
      <x:c r="C191" s="2" t="str">
        <x:f>VLOOKUP(A191,'Tasks'!$A$2:$X$224,9,FALSE)</x:f>
        <x:v>Alan</x:v>
      </x:c>
      <x:c r="D191" s="13" t="n">
        <x:f>VLOOKUP(A191,'Tasks'!$A$2:$X$224,12,FALSE)</x:f>
        <x:v>46326</x:v>
      </x:c>
      <x:c r="E191" s="13" t="n">
        <x:f>VLOOKUP(A191,'Tasks'!$A$2:$X$224,13,FALSE)</x:f>
        <x:v>46326</x:v>
      </x:c>
      <x:c r="F191" s="2" t="str">
        <x:f>VLOOKUP(A191,'Tasks'!$A$2:$X$224,22,FALSE)</x:f>
        <x:v>Todo</x:v>
      </x:c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</x:row>
    <x:row r="192" ht="34" customHeight="1">
      <x:c r="A192" s="2" t="str">
        <x:v>DEMO-ALA-R1</x:v>
      </x:c>
      <x:c r="B192" s="7" t="str">
        <x:f>VLOOKUP(A192,'Tasks'!$A$2:$X$224,2,FALSE)</x:f>
        <x:v>Participate in rehearsal one and random Q&amp;A</x:v>
      </x:c>
      <x:c r="C192" s="2" t="str">
        <x:f>VLOOKUP(A192,'Tasks'!$A$2:$X$224,9,FALSE)</x:f>
        <x:v>Alan</x:v>
      </x:c>
      <x:c r="D192" s="13" t="n">
        <x:f>VLOOKUP(A192,'Tasks'!$A$2:$X$224,12,FALSE)</x:f>
        <x:v>46325</x:v>
      </x:c>
      <x:c r="E192" s="13" t="n">
        <x:f>VLOOKUP(A192,'Tasks'!$A$2:$X$224,13,FALSE)</x:f>
        <x:v>46325</x:v>
      </x:c>
      <x:c r="F192" s="2" t="str">
        <x:f>VLOOKUP(A192,'Tasks'!$A$2:$X$224,22,FALSE)</x:f>
        <x:v>Todo</x:v>
      </x:c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</x:row>
    <x:row r="193" ht="34" customHeight="1">
      <x:c r="A193" s="2" t="str">
        <x:v>DEMO-ALA-R2</x:v>
      </x:c>
      <x:c r="B193" s="7" t="str">
        <x:f>VLOOKUP(A193,'Tasks'!$A$2:$X$224,2,FALSE)</x:f>
        <x:v>Participate in rehearsal two and cross-module Q&amp;A</x:v>
      </x:c>
      <x:c r="C193" s="2" t="str">
        <x:f>VLOOKUP(A193,'Tasks'!$A$2:$X$224,9,FALSE)</x:f>
        <x:v>Alan</x:v>
      </x:c>
      <x:c r="D193" s="13" t="n">
        <x:f>VLOOKUP(A193,'Tasks'!$A$2:$X$224,12,FALSE)</x:f>
        <x:v>46326</x:v>
      </x:c>
      <x:c r="E193" s="13" t="n">
        <x:f>VLOOKUP(A193,'Tasks'!$A$2:$X$224,13,FALSE)</x:f>
        <x:v>46326</x:v>
      </x:c>
      <x:c r="F193" s="2" t="str">
        <x:f>VLOOKUP(A193,'Tasks'!$A$2:$X$224,22,FALSE)</x:f>
        <x:v>Todo</x:v>
      </x:c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</x:row>
    <x:row r="194" ht="34" customHeight="1">
      <x:c r="A194" s="2" t="str">
        <x:v>REV-ZHA-1</x:v>
      </x:c>
      <x:c r="B194" s="7" t="str">
        <x:f>VLOOKUP(A194,'Tasks'!$A$2:$X$224,2,FALSE)</x:f>
        <x:v>Review Abdullah work for Week 1</x:v>
      </x:c>
      <x:c r="C194" s="2" t="str">
        <x:f>VLOOKUP(A194,'Tasks'!$A$2:$X$224,9,FALSE)</x:f>
        <x:v>Zhaolin</x:v>
      </x:c>
      <x:c r="D194" s="13" t="n">
        <x:f>VLOOKUP(A194,'Tasks'!$A$2:$X$224,12,FALSE)</x:f>
        <x:v>46307</x:v>
      </x:c>
      <x:c r="E194" s="13" t="n">
        <x:f>VLOOKUP(A194,'Tasks'!$A$2:$X$224,13,FALSE)</x:f>
        <x:v>46313</x:v>
      </x:c>
      <x:c r="F194" s="2" t="str">
        <x:f>VLOOKUP(A194,'Tasks'!$A$2:$X$224,22,FALSE)</x:f>
        <x:v>Todo</x:v>
      </x:c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</x:row>
    <x:row r="195" ht="34" customHeight="1">
      <x:c r="A195" s="2" t="str">
        <x:v>COM-ZHA-1</x:v>
      </x:c>
      <x:c r="B195" s="7" t="str">
        <x:f>VLOOKUP(A195,'Tasks'!$A$2:$X$224,2,FALSE)</x:f>
        <x:v>Attend Week 1 integration and cross-training sessions</x:v>
      </x:c>
      <x:c r="C195" s="2" t="str">
        <x:f>VLOOKUP(A195,'Tasks'!$A$2:$X$224,9,FALSE)</x:f>
        <x:v>Zhaolin</x:v>
      </x:c>
      <x:c r="D195" s="13" t="n">
        <x:f>VLOOKUP(A195,'Tasks'!$A$2:$X$224,12,FALSE)</x:f>
        <x:v>46307</x:v>
      </x:c>
      <x:c r="E195" s="13" t="n">
        <x:f>VLOOKUP(A195,'Tasks'!$A$2:$X$224,13,FALSE)</x:f>
        <x:v>46313</x:v>
      </x:c>
      <x:c r="F195" s="2" t="str">
        <x:f>VLOOKUP(A195,'Tasks'!$A$2:$X$224,22,FALSE)</x:f>
        <x:v>Todo</x:v>
      </x:c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</x:row>
    <x:row r="196" ht="34" customHeight="1">
      <x:c r="A196" s="2" t="str">
        <x:v>IND-ZHA-AI1</x:v>
      </x:c>
      <x:c r="B196" s="7" t="str">
        <x:f>VLOOKUP(A196,'Tasks'!$A$2:$X$224,2,FALSE)</x:f>
        <x:v>Check Week 1 AI Journal and commit disclosures</x:v>
      </x:c>
      <x:c r="C196" s="2" t="str">
        <x:f>VLOOKUP(A196,'Tasks'!$A$2:$X$224,9,FALSE)</x:f>
        <x:v>Zhaolin</x:v>
      </x:c>
      <x:c r="D196" s="13" t="n">
        <x:f>VLOOKUP(A196,'Tasks'!$A$2:$X$224,12,FALSE)</x:f>
        <x:v>46313</x:v>
      </x:c>
      <x:c r="E196" s="13" t="n">
        <x:f>VLOOKUP(A196,'Tasks'!$A$2:$X$224,13,FALSE)</x:f>
        <x:v>46313</x:v>
      </x:c>
      <x:c r="F196" s="2" t="str">
        <x:f>VLOOKUP(A196,'Tasks'!$A$2:$X$224,22,FALSE)</x:f>
        <x:v>Todo</x:v>
      </x:c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</x:row>
    <x:row r="197" ht="34" customHeight="1">
      <x:c r="A197" s="2" t="str">
        <x:v>REV-ZHA-2</x:v>
      </x:c>
      <x:c r="B197" s="7" t="str">
        <x:f>VLOOKUP(A197,'Tasks'!$A$2:$X$224,2,FALSE)</x:f>
        <x:v>Review Abdullah work for Week 2</x:v>
      </x:c>
      <x:c r="C197" s="2" t="str">
        <x:f>VLOOKUP(A197,'Tasks'!$A$2:$X$224,9,FALSE)</x:f>
        <x:v>Zhaolin</x:v>
      </x:c>
      <x:c r="D197" s="13" t="n">
        <x:f>VLOOKUP(A197,'Tasks'!$A$2:$X$224,12,FALSE)</x:f>
        <x:v>46314</x:v>
      </x:c>
      <x:c r="E197" s="13" t="n">
        <x:f>VLOOKUP(A197,'Tasks'!$A$2:$X$224,13,FALSE)</x:f>
        <x:v>46320</x:v>
      </x:c>
      <x:c r="F197" s="2" t="str">
        <x:f>VLOOKUP(A197,'Tasks'!$A$2:$X$224,22,FALSE)</x:f>
        <x:v>Todo</x:v>
      </x:c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</x:row>
    <x:row r="198" ht="34" customHeight="1">
      <x:c r="A198" s="2" t="str">
        <x:v>COM-ZHA-2</x:v>
      </x:c>
      <x:c r="B198" s="7" t="str">
        <x:f>VLOOKUP(A198,'Tasks'!$A$2:$X$224,2,FALSE)</x:f>
        <x:v>Attend Week 2 integration and cross-training sessions</x:v>
      </x:c>
      <x:c r="C198" s="2" t="str">
        <x:f>VLOOKUP(A198,'Tasks'!$A$2:$X$224,9,FALSE)</x:f>
        <x:v>Zhaolin</x:v>
      </x:c>
      <x:c r="D198" s="13" t="n">
        <x:f>VLOOKUP(A198,'Tasks'!$A$2:$X$224,12,FALSE)</x:f>
        <x:v>46314</x:v>
      </x:c>
      <x:c r="E198" s="13" t="n">
        <x:f>VLOOKUP(A198,'Tasks'!$A$2:$X$224,13,FALSE)</x:f>
        <x:v>46320</x:v>
      </x:c>
      <x:c r="F198" s="2" t="str">
        <x:f>VLOOKUP(A198,'Tasks'!$A$2:$X$224,22,FALSE)</x:f>
        <x:v>Todo</x:v>
      </x:c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</x:row>
    <x:row r="199" ht="34" customHeight="1">
      <x:c r="A199" s="2" t="str">
        <x:v>IND-ZHA-AI2</x:v>
      </x:c>
      <x:c r="B199" s="7" t="str">
        <x:f>VLOOKUP(A199,'Tasks'!$A$2:$X$224,2,FALSE)</x:f>
        <x:v>Check Week 2 AI Journal and commit disclosures</x:v>
      </x:c>
      <x:c r="C199" s="2" t="str">
        <x:f>VLOOKUP(A199,'Tasks'!$A$2:$X$224,9,FALSE)</x:f>
        <x:v>Zhaolin</x:v>
      </x:c>
      <x:c r="D199" s="13" t="n">
        <x:f>VLOOKUP(A199,'Tasks'!$A$2:$X$224,12,FALSE)</x:f>
        <x:v>46320</x:v>
      </x:c>
      <x:c r="E199" s="13" t="n">
        <x:f>VLOOKUP(A199,'Tasks'!$A$2:$X$224,13,FALSE)</x:f>
        <x:v>46320</x:v>
      </x:c>
      <x:c r="F199" s="2" t="str">
        <x:f>VLOOKUP(A199,'Tasks'!$A$2:$X$224,22,FALSE)</x:f>
        <x:v>Todo</x:v>
      </x:c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</x:row>
    <x:row r="200" ht="34" customHeight="1">
      <x:c r="A200" s="2" t="str">
        <x:v>REV-ZHA-3</x:v>
      </x:c>
      <x:c r="B200" s="7" t="str">
        <x:f>VLOOKUP(A200,'Tasks'!$A$2:$X$224,2,FALSE)</x:f>
        <x:v>Review Abdullah work for Week 3</x:v>
      </x:c>
      <x:c r="C200" s="2" t="str">
        <x:f>VLOOKUP(A200,'Tasks'!$A$2:$X$224,9,FALSE)</x:f>
        <x:v>Zhaolin</x:v>
      </x:c>
      <x:c r="D200" s="13" t="n">
        <x:f>VLOOKUP(A200,'Tasks'!$A$2:$X$224,12,FALSE)</x:f>
        <x:v>46321</x:v>
      </x:c>
      <x:c r="E200" s="13" t="n">
        <x:f>VLOOKUP(A200,'Tasks'!$A$2:$X$224,13,FALSE)</x:f>
        <x:v>46326</x:v>
      </x:c>
      <x:c r="F200" s="2" t="str">
        <x:f>VLOOKUP(A200,'Tasks'!$A$2:$X$224,22,FALSE)</x:f>
        <x:v>Todo</x:v>
      </x:c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</x:row>
    <x:row r="201" ht="34" customHeight="1">
      <x:c r="A201" s="2" t="str">
        <x:v>COM-ZHA-3</x:v>
      </x:c>
      <x:c r="B201" s="7" t="str">
        <x:f>VLOOKUP(A201,'Tasks'!$A$2:$X$224,2,FALSE)</x:f>
        <x:v>Attend Week 3 integration and cross-training sessions</x:v>
      </x:c>
      <x:c r="C201" s="2" t="str">
        <x:f>VLOOKUP(A201,'Tasks'!$A$2:$X$224,9,FALSE)</x:f>
        <x:v>Zhaolin</x:v>
      </x:c>
      <x:c r="D201" s="13" t="n">
        <x:f>VLOOKUP(A201,'Tasks'!$A$2:$X$224,12,FALSE)</x:f>
        <x:v>46321</x:v>
      </x:c>
      <x:c r="E201" s="13" t="n">
        <x:f>VLOOKUP(A201,'Tasks'!$A$2:$X$224,13,FALSE)</x:f>
        <x:v>46326</x:v>
      </x:c>
      <x:c r="F201" s="2" t="str">
        <x:f>VLOOKUP(A201,'Tasks'!$A$2:$X$224,22,FALSE)</x:f>
        <x:v>Todo</x:v>
      </x:c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</x:row>
    <x:row r="202" ht="34" customHeight="1">
      <x:c r="A202" s="2" t="str">
        <x:v>IND-ZHA-AI3</x:v>
      </x:c>
      <x:c r="B202" s="7" t="str">
        <x:f>VLOOKUP(A202,'Tasks'!$A$2:$X$224,2,FALSE)</x:f>
        <x:v>Check Week 3 AI Journal and commit disclosures</x:v>
      </x:c>
      <x:c r="C202" s="2" t="str">
        <x:f>VLOOKUP(A202,'Tasks'!$A$2:$X$224,9,FALSE)</x:f>
        <x:v>Zhaolin</x:v>
      </x:c>
      <x:c r="D202" s="13" t="n">
        <x:f>VLOOKUP(A202,'Tasks'!$A$2:$X$224,12,FALSE)</x:f>
        <x:v>46326</x:v>
      </x:c>
      <x:c r="E202" s="13" t="n">
        <x:f>VLOOKUP(A202,'Tasks'!$A$2:$X$224,13,FALSE)</x:f>
        <x:v>46326</x:v>
      </x:c>
      <x:c r="F202" s="2" t="str">
        <x:f>VLOOKUP(A202,'Tasks'!$A$2:$X$224,22,FALSE)</x:f>
        <x:v>Todo</x:v>
      </x:c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</x:row>
    <x:row r="203" ht="34" customHeight="1">
      <x:c r="A203" s="2" t="str">
        <x:v>IND-ZHA-REF</x:v>
      </x:c>
      <x:c r="B203" s="7" t="str">
        <x:f>VLOOKUP(A203,'Tasks'!$A$2:$X$224,2,FALSE)</x:f>
        <x:v>Draft and privately check individual self-reflection</x:v>
      </x:c>
      <x:c r="C203" s="2" t="str">
        <x:f>VLOOKUP(A203,'Tasks'!$A$2:$X$224,9,FALSE)</x:f>
        <x:v>Zhaolin</x:v>
      </x:c>
      <x:c r="D203" s="13" t="n">
        <x:f>VLOOKUP(A203,'Tasks'!$A$2:$X$224,12,FALSE)</x:f>
        <x:v>46325</x:v>
      </x:c>
      <x:c r="E203" s="13" t="n">
        <x:f>VLOOKUP(A203,'Tasks'!$A$2:$X$224,13,FALSE)</x:f>
        <x:v>46325</x:v>
      </x:c>
      <x:c r="F203" s="2" t="str">
        <x:f>VLOOKUP(A203,'Tasks'!$A$2:$X$224,22,FALSE)</x:f>
        <x:v>Todo</x:v>
      </x:c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</x:row>
    <x:row r="204" ht="34" customHeight="1">
      <x:c r="A204" s="2" t="str">
        <x:v>IND-ZHA-PEER</x:v>
      </x:c>
      <x:c r="B204" s="7" t="str">
        <x:f>VLOOKUP(A204,'Tasks'!$A$2:$X$224,2,FALSE)</x:f>
        <x:v>Prepare peer-reflection forms and verify lab attendance</x:v>
      </x:c>
      <x:c r="C204" s="2" t="str">
        <x:f>VLOOKUP(A204,'Tasks'!$A$2:$X$224,9,FALSE)</x:f>
        <x:v>Zhaolin</x:v>
      </x:c>
      <x:c r="D204" s="13" t="n">
        <x:f>VLOOKUP(A204,'Tasks'!$A$2:$X$224,12,FALSE)</x:f>
        <x:v>46326</x:v>
      </x:c>
      <x:c r="E204" s="13" t="n">
        <x:f>VLOOKUP(A204,'Tasks'!$A$2:$X$224,13,FALSE)</x:f>
        <x:v>46326</x:v>
      </x:c>
      <x:c r="F204" s="2" t="str">
        <x:f>VLOOKUP(A204,'Tasks'!$A$2:$X$224,22,FALSE)</x:f>
        <x:v>Todo</x:v>
      </x:c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</x:row>
    <x:row r="205" ht="34" customHeight="1">
      <x:c r="A205" s="2" t="str">
        <x:v>IND-ZHA-SPARK</x:v>
      </x:c>
      <x:c r="B205" s="7" t="str">
        <x:f>VLOOKUP(A205,'Tasks'!$A$2:$X$224,2,FALSE)</x:f>
        <x:v>Verify SparkPLUS deadline and personal submission reminder</x:v>
      </x:c>
      <x:c r="C205" s="2" t="str">
        <x:f>VLOOKUP(A205,'Tasks'!$A$2:$X$224,9,FALSE)</x:f>
        <x:v>Zhaolin</x:v>
      </x:c>
      <x:c r="D205" s="13" t="n">
        <x:f>VLOOKUP(A205,'Tasks'!$A$2:$X$224,12,FALSE)</x:f>
        <x:v>46326</x:v>
      </x:c>
      <x:c r="E205" s="13" t="n">
        <x:f>VLOOKUP(A205,'Tasks'!$A$2:$X$224,13,FALSE)</x:f>
        <x:v>46326</x:v>
      </x:c>
      <x:c r="F205" s="2" t="str">
        <x:f>VLOOKUP(A205,'Tasks'!$A$2:$X$224,22,FALSE)</x:f>
        <x:v>Todo</x:v>
      </x:c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</x:row>
    <x:row r="206" ht="34" customHeight="1">
      <x:c r="A206" s="2" t="str">
        <x:v>DEMO-ZHA-R1</x:v>
      </x:c>
      <x:c r="B206" s="7" t="str">
        <x:f>VLOOKUP(A206,'Tasks'!$A$2:$X$224,2,FALSE)</x:f>
        <x:v>Participate in rehearsal one and random Q&amp;A</x:v>
      </x:c>
      <x:c r="C206" s="2" t="str">
        <x:f>VLOOKUP(A206,'Tasks'!$A$2:$X$224,9,FALSE)</x:f>
        <x:v>Zhaolin</x:v>
      </x:c>
      <x:c r="D206" s="13" t="n">
        <x:f>VLOOKUP(A206,'Tasks'!$A$2:$X$224,12,FALSE)</x:f>
        <x:v>46325</x:v>
      </x:c>
      <x:c r="E206" s="13" t="n">
        <x:f>VLOOKUP(A206,'Tasks'!$A$2:$X$224,13,FALSE)</x:f>
        <x:v>46325</x:v>
      </x:c>
      <x:c r="F206" s="2" t="str">
        <x:f>VLOOKUP(A206,'Tasks'!$A$2:$X$224,22,FALSE)</x:f>
        <x:v>Todo</x:v>
      </x:c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</x:row>
    <x:row r="207" ht="34" customHeight="1">
      <x:c r="A207" s="2" t="str">
        <x:v>REV-SAV-1</x:v>
      </x:c>
      <x:c r="B207" s="7" t="str">
        <x:f>VLOOKUP(A207,'Tasks'!$A$2:$X$224,2,FALSE)</x:f>
        <x:v>Review Ricky work for Week 1</x:v>
      </x:c>
      <x:c r="C207" s="2" t="str">
        <x:f>VLOOKUP(A207,'Tasks'!$A$2:$X$224,9,FALSE)</x:f>
        <x:v>Saviour</x:v>
      </x:c>
      <x:c r="D207" s="13" t="n">
        <x:f>VLOOKUP(A207,'Tasks'!$A$2:$X$224,12,FALSE)</x:f>
        <x:v>46307</x:v>
      </x:c>
      <x:c r="E207" s="13" t="n">
        <x:f>VLOOKUP(A207,'Tasks'!$A$2:$X$224,13,FALSE)</x:f>
        <x:v>46313</x:v>
      </x:c>
      <x:c r="F207" s="2" t="str">
        <x:f>VLOOKUP(A207,'Tasks'!$A$2:$X$224,22,FALSE)</x:f>
        <x:v>Todo</x:v>
      </x:c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</x:row>
    <x:row r="208" ht="34" customHeight="1">
      <x:c r="A208" s="2" t="str">
        <x:v>COM-SAV-1</x:v>
      </x:c>
      <x:c r="B208" s="7" t="str">
        <x:f>VLOOKUP(A208,'Tasks'!$A$2:$X$224,2,FALSE)</x:f>
        <x:v>Attend Week 1 integration and cross-training sessions</x:v>
      </x:c>
      <x:c r="C208" s="2" t="str">
        <x:f>VLOOKUP(A208,'Tasks'!$A$2:$X$224,9,FALSE)</x:f>
        <x:v>Saviour</x:v>
      </x:c>
      <x:c r="D208" s="13" t="n">
        <x:f>VLOOKUP(A208,'Tasks'!$A$2:$X$224,12,FALSE)</x:f>
        <x:v>46307</x:v>
      </x:c>
      <x:c r="E208" s="13" t="n">
        <x:f>VLOOKUP(A208,'Tasks'!$A$2:$X$224,13,FALSE)</x:f>
        <x:v>46313</x:v>
      </x:c>
      <x:c r="F208" s="2" t="str">
        <x:f>VLOOKUP(A208,'Tasks'!$A$2:$X$224,22,FALSE)</x:f>
        <x:v>Todo</x:v>
      </x:c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</x:row>
    <x:row r="209" ht="34" customHeight="1">
      <x:c r="A209" s="2" t="str">
        <x:v>IND-SAV-AI1</x:v>
      </x:c>
      <x:c r="B209" s="7" t="str">
        <x:f>VLOOKUP(A209,'Tasks'!$A$2:$X$224,2,FALSE)</x:f>
        <x:v>Check Week 1 AI Journal and commit disclosures</x:v>
      </x:c>
      <x:c r="C209" s="2" t="str">
        <x:f>VLOOKUP(A209,'Tasks'!$A$2:$X$224,9,FALSE)</x:f>
        <x:v>Saviour</x:v>
      </x:c>
      <x:c r="D209" s="13" t="n">
        <x:f>VLOOKUP(A209,'Tasks'!$A$2:$X$224,12,FALSE)</x:f>
        <x:v>46313</x:v>
      </x:c>
      <x:c r="E209" s="13" t="n">
        <x:f>VLOOKUP(A209,'Tasks'!$A$2:$X$224,13,FALSE)</x:f>
        <x:v>46313</x:v>
      </x:c>
      <x:c r="F209" s="2" t="str">
        <x:f>VLOOKUP(A209,'Tasks'!$A$2:$X$224,22,FALSE)</x:f>
        <x:v>Todo</x:v>
      </x:c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</x:row>
    <x:row r="210" ht="34" customHeight="1">
      <x:c r="A210" s="2" t="str">
        <x:v>REV-SAV-2</x:v>
      </x:c>
      <x:c r="B210" s="7" t="str">
        <x:f>VLOOKUP(A210,'Tasks'!$A$2:$X$224,2,FALSE)</x:f>
        <x:v>Review Ricky work for Week 2</x:v>
      </x:c>
      <x:c r="C210" s="2" t="str">
        <x:f>VLOOKUP(A210,'Tasks'!$A$2:$X$224,9,FALSE)</x:f>
        <x:v>Saviour</x:v>
      </x:c>
      <x:c r="D210" s="13" t="n">
        <x:f>VLOOKUP(A210,'Tasks'!$A$2:$X$224,12,FALSE)</x:f>
        <x:v>46314</x:v>
      </x:c>
      <x:c r="E210" s="13" t="n">
        <x:f>VLOOKUP(A210,'Tasks'!$A$2:$X$224,13,FALSE)</x:f>
        <x:v>46320</x:v>
      </x:c>
      <x:c r="F210" s="2" t="str">
        <x:f>VLOOKUP(A210,'Tasks'!$A$2:$X$224,22,FALSE)</x:f>
        <x:v>Todo</x:v>
      </x:c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</x:row>
    <x:row r="211" ht="34" customHeight="1">
      <x:c r="A211" s="2" t="str">
        <x:v>COM-SAV-2</x:v>
      </x:c>
      <x:c r="B211" s="7" t="str">
        <x:f>VLOOKUP(A211,'Tasks'!$A$2:$X$224,2,FALSE)</x:f>
        <x:v>Attend Week 2 integration and cross-training sessions</x:v>
      </x:c>
      <x:c r="C211" s="2" t="str">
        <x:f>VLOOKUP(A211,'Tasks'!$A$2:$X$224,9,FALSE)</x:f>
        <x:v>Saviour</x:v>
      </x:c>
      <x:c r="D211" s="13" t="n">
        <x:f>VLOOKUP(A211,'Tasks'!$A$2:$X$224,12,FALSE)</x:f>
        <x:v>46314</x:v>
      </x:c>
      <x:c r="E211" s="13" t="n">
        <x:f>VLOOKUP(A211,'Tasks'!$A$2:$X$224,13,FALSE)</x:f>
        <x:v>46320</x:v>
      </x:c>
      <x:c r="F211" s="2" t="str">
        <x:f>VLOOKUP(A211,'Tasks'!$A$2:$X$224,22,FALSE)</x:f>
        <x:v>Todo</x:v>
      </x:c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</x:row>
    <x:row r="212" ht="34" customHeight="1">
      <x:c r="A212" s="2" t="str">
        <x:v>IND-SAV-AI2</x:v>
      </x:c>
      <x:c r="B212" s="7" t="str">
        <x:f>VLOOKUP(A212,'Tasks'!$A$2:$X$224,2,FALSE)</x:f>
        <x:v>Check Week 2 AI Journal and commit disclosures</x:v>
      </x:c>
      <x:c r="C212" s="2" t="str">
        <x:f>VLOOKUP(A212,'Tasks'!$A$2:$X$224,9,FALSE)</x:f>
        <x:v>Saviour</x:v>
      </x:c>
      <x:c r="D212" s="13" t="n">
        <x:f>VLOOKUP(A212,'Tasks'!$A$2:$X$224,12,FALSE)</x:f>
        <x:v>46320</x:v>
      </x:c>
      <x:c r="E212" s="13" t="n">
        <x:f>VLOOKUP(A212,'Tasks'!$A$2:$X$224,13,FALSE)</x:f>
        <x:v>46320</x:v>
      </x:c>
      <x:c r="F212" s="2" t="str">
        <x:f>VLOOKUP(A212,'Tasks'!$A$2:$X$224,22,FALSE)</x:f>
        <x:v>Todo</x:v>
      </x:c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</x:row>
    <x:row r="213" ht="34" customHeight="1">
      <x:c r="A213" s="2" t="str">
        <x:v>REV-SAV-3</x:v>
      </x:c>
      <x:c r="B213" s="7" t="str">
        <x:f>VLOOKUP(A213,'Tasks'!$A$2:$X$224,2,FALSE)</x:f>
        <x:v>Review Ricky work for Week 3</x:v>
      </x:c>
      <x:c r="C213" s="2" t="str">
        <x:f>VLOOKUP(A213,'Tasks'!$A$2:$X$224,9,FALSE)</x:f>
        <x:v>Saviour</x:v>
      </x:c>
      <x:c r="D213" s="13" t="n">
        <x:f>VLOOKUP(A213,'Tasks'!$A$2:$X$224,12,FALSE)</x:f>
        <x:v>46321</x:v>
      </x:c>
      <x:c r="E213" s="13" t="n">
        <x:f>VLOOKUP(A213,'Tasks'!$A$2:$X$224,13,FALSE)</x:f>
        <x:v>46326</x:v>
      </x:c>
      <x:c r="F213" s="2" t="str">
        <x:f>VLOOKUP(A213,'Tasks'!$A$2:$X$224,22,FALSE)</x:f>
        <x:v>Todo</x:v>
      </x:c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</x:row>
    <x:row r="214" ht="34" customHeight="1">
      <x:c r="A214" s="2" t="str">
        <x:v>COM-SAV-3</x:v>
      </x:c>
      <x:c r="B214" s="7" t="str">
        <x:f>VLOOKUP(A214,'Tasks'!$A$2:$X$224,2,FALSE)</x:f>
        <x:v>Attend Week 3 integration and cross-training sessions</x:v>
      </x:c>
      <x:c r="C214" s="2" t="str">
        <x:f>VLOOKUP(A214,'Tasks'!$A$2:$X$224,9,FALSE)</x:f>
        <x:v>Saviour</x:v>
      </x:c>
      <x:c r="D214" s="13" t="n">
        <x:f>VLOOKUP(A214,'Tasks'!$A$2:$X$224,12,FALSE)</x:f>
        <x:v>46321</x:v>
      </x:c>
      <x:c r="E214" s="13" t="n">
        <x:f>VLOOKUP(A214,'Tasks'!$A$2:$X$224,13,FALSE)</x:f>
        <x:v>46326</x:v>
      </x:c>
      <x:c r="F214" s="2" t="str">
        <x:f>VLOOKUP(A214,'Tasks'!$A$2:$X$224,22,FALSE)</x:f>
        <x:v>Todo</x:v>
      </x:c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</x:row>
    <x:row r="215" ht="34" customHeight="1">
      <x:c r="A215" s="2" t="str">
        <x:v>IND-SAV-AI3</x:v>
      </x:c>
      <x:c r="B215" s="7" t="str">
        <x:f>VLOOKUP(A215,'Tasks'!$A$2:$X$224,2,FALSE)</x:f>
        <x:v>Check Week 3 AI Journal and commit disclosures</x:v>
      </x:c>
      <x:c r="C215" s="2" t="str">
        <x:f>VLOOKUP(A215,'Tasks'!$A$2:$X$224,9,FALSE)</x:f>
        <x:v>Saviour</x:v>
      </x:c>
      <x:c r="D215" s="13" t="n">
        <x:f>VLOOKUP(A215,'Tasks'!$A$2:$X$224,12,FALSE)</x:f>
        <x:v>46326</x:v>
      </x:c>
      <x:c r="E215" s="13" t="n">
        <x:f>VLOOKUP(A215,'Tasks'!$A$2:$X$224,13,FALSE)</x:f>
        <x:v>46326</x:v>
      </x:c>
      <x:c r="F215" s="2" t="str">
        <x:f>VLOOKUP(A215,'Tasks'!$A$2:$X$224,22,FALSE)</x:f>
        <x:v>Todo</x:v>
      </x:c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</x:row>
    <x:row r="216" ht="34" customHeight="1">
      <x:c r="A216" s="2" t="str">
        <x:v>IND-SAV-REF</x:v>
      </x:c>
      <x:c r="B216" s="7" t="str">
        <x:f>VLOOKUP(A216,'Tasks'!$A$2:$X$224,2,FALSE)</x:f>
        <x:v>Draft and privately check individual self-reflection</x:v>
      </x:c>
      <x:c r="C216" s="2" t="str">
        <x:f>VLOOKUP(A216,'Tasks'!$A$2:$X$224,9,FALSE)</x:f>
        <x:v>Saviour</x:v>
      </x:c>
      <x:c r="D216" s="13" t="n">
        <x:f>VLOOKUP(A216,'Tasks'!$A$2:$X$224,12,FALSE)</x:f>
        <x:v>46325</x:v>
      </x:c>
      <x:c r="E216" s="13" t="n">
        <x:f>VLOOKUP(A216,'Tasks'!$A$2:$X$224,13,FALSE)</x:f>
        <x:v>46325</x:v>
      </x:c>
      <x:c r="F216" s="2" t="str">
        <x:f>VLOOKUP(A216,'Tasks'!$A$2:$X$224,22,FALSE)</x:f>
        <x:v>Todo</x:v>
      </x:c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</x:row>
    <x:row r="217" ht="34" customHeight="1">
      <x:c r="A217" s="2" t="str">
        <x:v>IND-SAV-PEER</x:v>
      </x:c>
      <x:c r="B217" s="7" t="str">
        <x:f>VLOOKUP(A217,'Tasks'!$A$2:$X$224,2,FALSE)</x:f>
        <x:v>Prepare peer-reflection forms and verify lab attendance</x:v>
      </x:c>
      <x:c r="C217" s="2" t="str">
        <x:f>VLOOKUP(A217,'Tasks'!$A$2:$X$224,9,FALSE)</x:f>
        <x:v>Saviour</x:v>
      </x:c>
      <x:c r="D217" s="13" t="n">
        <x:f>VLOOKUP(A217,'Tasks'!$A$2:$X$224,12,FALSE)</x:f>
        <x:v>46326</x:v>
      </x:c>
      <x:c r="E217" s="13" t="n">
        <x:f>VLOOKUP(A217,'Tasks'!$A$2:$X$224,13,FALSE)</x:f>
        <x:v>46326</x:v>
      </x:c>
      <x:c r="F217" s="2" t="str">
        <x:f>VLOOKUP(A217,'Tasks'!$A$2:$X$224,22,FALSE)</x:f>
        <x:v>Todo</x:v>
      </x:c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</x:row>
    <x:row r="218" ht="34" customHeight="1">
      <x:c r="A218" s="2" t="str">
        <x:v>IND-SAV-SPARK</x:v>
      </x:c>
      <x:c r="B218" s="7" t="str">
        <x:f>VLOOKUP(A218,'Tasks'!$A$2:$X$224,2,FALSE)</x:f>
        <x:v>Verify SparkPLUS deadline and personal submission reminder</x:v>
      </x:c>
      <x:c r="C218" s="2" t="str">
        <x:f>VLOOKUP(A218,'Tasks'!$A$2:$X$224,9,FALSE)</x:f>
        <x:v>Saviour</x:v>
      </x:c>
      <x:c r="D218" s="13" t="n">
        <x:f>VLOOKUP(A218,'Tasks'!$A$2:$X$224,12,FALSE)</x:f>
        <x:v>46326</x:v>
      </x:c>
      <x:c r="E218" s="13" t="n">
        <x:f>VLOOKUP(A218,'Tasks'!$A$2:$X$224,13,FALSE)</x:f>
        <x:v>46326</x:v>
      </x:c>
      <x:c r="F218" s="2" t="str">
        <x:f>VLOOKUP(A218,'Tasks'!$A$2:$X$224,22,FALSE)</x:f>
        <x:v>Todo</x:v>
      </x:c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</x:row>
    <x:row r="219" ht="34" customHeight="1">
      <x:c r="A219" s="2" t="str">
        <x:v>DEMO-SAV-R1</x:v>
      </x:c>
      <x:c r="B219" s="7" t="str">
        <x:f>VLOOKUP(A219,'Tasks'!$A$2:$X$224,2,FALSE)</x:f>
        <x:v>Participate in rehearsal one and random Q&amp;A</x:v>
      </x:c>
      <x:c r="C219" s="2" t="str">
        <x:f>VLOOKUP(A219,'Tasks'!$A$2:$X$224,9,FALSE)</x:f>
        <x:v>Saviour</x:v>
      </x:c>
      <x:c r="D219" s="13" t="n">
        <x:f>VLOOKUP(A219,'Tasks'!$A$2:$X$224,12,FALSE)</x:f>
        <x:v>46325</x:v>
      </x:c>
      <x:c r="E219" s="13" t="n">
        <x:f>VLOOKUP(A219,'Tasks'!$A$2:$X$224,13,FALSE)</x:f>
        <x:v>46325</x:v>
      </x:c>
      <x:c r="F219" s="2" t="str">
        <x:f>VLOOKUP(A219,'Tasks'!$A$2:$X$224,22,FALSE)</x:f>
        <x:v>Todo</x:v>
      </x:c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</x:row>
    <x:row r="220" ht="34" customHeight="1">
      <x:c r="A220" s="2" t="str">
        <x:v>DEMO-SAV-R2</x:v>
      </x:c>
      <x:c r="B220" s="7" t="str">
        <x:f>VLOOKUP(A220,'Tasks'!$A$2:$X$224,2,FALSE)</x:f>
        <x:v>Participate in rehearsal two and cross-module Q&amp;A</x:v>
      </x:c>
      <x:c r="C220" s="2" t="str">
        <x:f>VLOOKUP(A220,'Tasks'!$A$2:$X$224,9,FALSE)</x:f>
        <x:v>Saviour</x:v>
      </x:c>
      <x:c r="D220" s="13" t="n">
        <x:f>VLOOKUP(A220,'Tasks'!$A$2:$X$224,12,FALSE)</x:f>
        <x:v>46326</x:v>
      </x:c>
      <x:c r="E220" s="13" t="n">
        <x:f>VLOOKUP(A220,'Tasks'!$A$2:$X$224,13,FALSE)</x:f>
        <x:v>46326</x:v>
      </x:c>
      <x:c r="F220" s="2" t="str">
        <x:f>VLOOKUP(A220,'Tasks'!$A$2:$X$224,22,FALSE)</x:f>
        <x:v>Todo</x:v>
      </x:c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</x:row>
    <x:row r="221" ht="34" customHeight="1">
      <x:c r="A221" s="2" t="str">
        <x:v>DOC-17</x:v>
      </x:c>
      <x:c r="B221" s="7" t="str">
        <x:f>VLOOKUP(A221,'Tasks'!$A$2:$X$224,2,FALSE)</x:f>
        <x:v>Prepare cross-module Q&amp;A prompts and traceable answers</x:v>
      </x:c>
      <x:c r="C221" s="2" t="str">
        <x:f>VLOOKUP(A221,'Tasks'!$A$2:$X$224,9,FALSE)</x:f>
        <x:v>Ricky</x:v>
      </x:c>
      <x:c r="D221" s="13" t="n">
        <x:f>VLOOKUP(A221,'Tasks'!$A$2:$X$224,12,FALSE)</x:f>
        <x:v>46323</x:v>
      </x:c>
      <x:c r="E221" s="13" t="n">
        <x:f>VLOOKUP(A221,'Tasks'!$A$2:$X$224,13,FALSE)</x:f>
        <x:v>46323</x:v>
      </x:c>
      <x:c r="F221" s="2" t="str">
        <x:f>VLOOKUP(A221,'Tasks'!$A$2:$X$224,22,FALSE)</x:f>
        <x:v>Todo</x:v>
      </x:c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</x:row>
    <x:row r="222" ht="34" customHeight="1">
      <x:c r="A222" s="2" t="str">
        <x:v>DOC-18</x:v>
      </x:c>
      <x:c r="B222" s="7" t="str">
        <x:f>VLOOKUP(A222,'Tasks'!$A$2:$X$224,2,FALSE)</x:f>
        <x:v>Package final report, video links and release manifest</x:v>
      </x:c>
      <x:c r="C222" s="2" t="str">
        <x:f>VLOOKUP(A222,'Tasks'!$A$2:$X$224,9,FALSE)</x:f>
        <x:v>Ricky</x:v>
      </x:c>
      <x:c r="D222" s="13" t="n">
        <x:f>VLOOKUP(A222,'Tasks'!$A$2:$X$224,12,FALSE)</x:f>
        <x:v>46326</x:v>
      </x:c>
      <x:c r="E222" s="13" t="n">
        <x:f>VLOOKUP(A222,'Tasks'!$A$2:$X$224,13,FALSE)</x:f>
        <x:v>46326</x:v>
      </x:c>
      <x:c r="F222" s="2" t="str">
        <x:f>VLOOKUP(A222,'Tasks'!$A$2:$X$224,22,FALSE)</x:f>
        <x:v>Todo</x:v>
      </x:c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</x:row>
    <x:row r="223" ht="34" customHeight="1">
      <x:c r="A223" s="2" t="str">
        <x:v>TEST-22</x:v>
      </x:c>
      <x:c r="B223" s="7" t="str">
        <x:f>VLOOKUP(A223,'Tasks'!$A$2:$X$224,2,FALSE)</x:f>
        <x:v>Check HUD and background workload against timing budget</x:v>
      </x:c>
      <x:c r="C223" s="2" t="str">
        <x:f>VLOOKUP(A223,'Tasks'!$A$2:$X$224,9,FALSE)</x:f>
        <x:v>Abdullah</x:v>
      </x:c>
      <x:c r="D223" s="13" t="n">
        <x:f>VLOOKUP(A223,'Tasks'!$A$2:$X$224,12,FALSE)</x:f>
        <x:v>46320</x:v>
      </x:c>
      <x:c r="E223" s="13" t="n">
        <x:f>VLOOKUP(A223,'Tasks'!$A$2:$X$224,13,FALSE)</x:f>
        <x:v>46320</x:v>
      </x:c>
      <x:c r="F223" s="2" t="str">
        <x:f>VLOOKUP(A223,'Tasks'!$A$2:$X$224,22,FALSE)</x:f>
        <x:v>Todo</x:v>
      </x:c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</x:row>
    <x:row r="224" ht="34" customHeight="1">
      <x:c r="A224" s="2" t="str">
        <x:v>PROC-04</x:v>
      </x:c>
      <x:c r="B224" s="7" t="str">
        <x:f>VLOOKUP(A224,'Tasks'!$A$2:$X$224,2,FALSE)</x:f>
        <x:v>Record decisions on traffic lights and moving obstacles</x:v>
      </x:c>
      <x:c r="C224" s="2" t="str">
        <x:f>VLOOKUP(A224,'Tasks'!$A$2:$X$224,9,FALSE)</x:f>
        <x:v>Alan</x:v>
      </x:c>
      <x:c r="D224" s="13" t="n">
        <x:f>VLOOKUP(A224,'Tasks'!$A$2:$X$224,12,FALSE)</x:f>
        <x:v>46320</x:v>
      </x:c>
      <x:c r="E224" s="13" t="n">
        <x:f>VLOOKUP(A224,'Tasks'!$A$2:$X$224,13,FALSE)</x:f>
        <x:v>46320</x:v>
      </x:c>
      <x:c r="F224" s="2" t="str">
        <x:f>VLOOKUP(A224,'Tasks'!$A$2:$X$224,22,FALSE)</x:f>
        <x:v>Todo</x:v>
      </x:c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</x:row>
  </x:sheetData>
  <x:conditionalFormatting sqref="G2:AA224">
    <x:cfRule type="expression" dxfId="6" priority="1">
      <x:formula>AND(G$1&gt;=$D2,G$1&lt;=$E2,$F2&lt;&gt;"Cut")</x:formula>
    </x:cfRule>
    <x:cfRule type="expression" dxfId="7" priority="2">
      <x:formula>AND(G$1&gt;=$D2,G$1&lt;=$E2,$F2="Done")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34" hidden="0" customWidth="1"/>
    <x:col min="4" max="4" width="47" hidden="0" customWidth="1"/>
    <x:col min="5" max="5" width="43" hidden="0" customWidth="1"/>
    <x:col min="6" max="6" width="18" hidden="0" customWidth="1"/>
    <x:col min="7" max="7" width="12" hidden="0" customWidth="1"/>
    <x:col min="8" max="8" width="48" hidden="0" customWidth="1"/>
    <x:col min="9" max="9" width="18" hidden="0" customWidth="1"/>
  </x:cols>
  <x:sheetData>
    <x:row r="1" ht="32" customHeight="1">
      <x:c r="A1" s="6" t="str">
        <x:v>Name</x:v>
      </x:c>
      <x:c r="B1" s="6" t="str">
        <x:v>GitHub</x:v>
      </x:c>
      <x:c r="C1" s="6" t="str">
        <x:v>A1 module</x:v>
      </x:c>
      <x:c r="D1" s="6" t="str">
        <x:v>Baseline workstream</x:v>
      </x:c>
      <x:c r="E1" s="6" t="str">
        <x:v>Extension</x:v>
      </x:c>
      <x:c r="F1" s="6" t="str">
        <x:v>Review partner</x:v>
      </x:c>
      <x:c r="G1" s="6" t="str">
        <x:v>CARLA</x:v>
      </x:c>
      <x:c r="H1" s="6" t="str">
        <x:v>Availability assumption</x:v>
      </x:c>
      <x:c r="I1" s="6" t="str">
        <x:v>Capacity (h/week)</x:v>
      </x:c>
    </x:row>
    <x:row r="2" ht="64" customHeight="1">
      <x:c r="A2" s="7" t="str">
        <x:v>Mohammad</x:v>
      </x:c>
      <x:c r="B2" s="8" t="str">
        <x:v>kkaaman</x:v>
      </x:c>
      <x:c r="C2" s="7" t="str">
        <x:v>Semantic segmentation</x:v>
      </x:c>
      <x:c r="D2" s="7" t="str">
        <x:v>B: RGB-D sensors, dataset and segmentation</x:v>
      </x:c>
      <x:c r="E2" s="7" t="str">
        <x:v>E2: LiDAR</x:v>
      </x:c>
      <x:c r="F2" s="7" t="str">
        <x:v>Alan</x:v>
      </x:c>
      <x:c r="G2" s="7" t="str">
        <x:v>Y</x:v>
      </x:c>
      <x:c r="H2" s="7" t="str">
        <x:v>32 h/week including review and contingency; confirm</x:v>
      </x:c>
      <x:c r="I2" s="8" t="n">
        <x:v>32</x:v>
      </x:c>
    </x:row>
    <x:row r="3" ht="64" customHeight="1">
      <x:c r="A3" s="7" t="str">
        <x:v>Abdullah</x:v>
      </x:c>
      <x:c r="B3" s="8" t="str"/>
      <x:c r="C3" s="7" t="str">
        <x:v>Lane and driving-area detection</x:v>
      </x:c>
      <x:c r="D3" s="7" t="str">
        <x:v>E: Vehicle adapter, integration and lane monitor</x:v>
      </x:c>
      <x:c r="E3" s="7" t="str">
        <x:v>E3: Wayfinder</x:v>
      </x:c>
      <x:c r="F3" s="7" t="str">
        <x:v>Zhaolin</x:v>
      </x:c>
      <x:c r="G3" s="7" t="str">
        <x:v>Y</x:v>
      </x:c>
      <x:c r="H3" s="7" t="str">
        <x:v>32 h/week including review and contingency; confirm</x:v>
      </x:c>
      <x:c r="I3" s="8" t="n">
        <x:v>32</x:v>
      </x:c>
    </x:row>
    <x:row r="4" ht="64" customHeight="1">
      <x:c r="A4" s="7" t="str">
        <x:v>Ricky</x:v>
      </x:c>
      <x:c r="B4" s="8" t="str"/>
      <x:c r="C4" s="7" t="str">
        <x:v>Object detection and tracking</x:v>
      </x:c>
      <x:c r="D4" s="7" t="str">
        <x:v>C: Detector, association and temporal filtering</x:v>
      </x:c>
      <x:c r="E4" s="7" t="str">
        <x:v>E4: Inference server and session isolation</x:v>
      </x:c>
      <x:c r="F4" s="7" t="str">
        <x:v>Saviour</x:v>
      </x:c>
      <x:c r="G4" s="7" t="str">
        <x:v>N</x:v>
      </x:c>
      <x:c r="H4" s="7" t="str">
        <x:v>32 h/week including review and contingency; confirm</x:v>
      </x:c>
      <x:c r="I4" s="8" t="n">
        <x:v>32</x:v>
      </x:c>
    </x:row>
    <x:row r="5" ht="64" customHeight="1">
      <x:c r="A5" s="7" t="str">
        <x:v>Alan</x:v>
      </x:c>
      <x:c r="B5" s="8" t="str"/>
      <x:c r="C5" s="7" t="str">
        <x:v>Traffic-condition detection</x:v>
      </x:c>
      <x:c r="D5" s="7" t="str">
        <x:v>D: Depth geometry, corridor and obstacle behaviour</x:v>
      </x:c>
      <x:c r="E5" s="7" t="str">
        <x:v>E1: Weather robustness</x:v>
      </x:c>
      <x:c r="F5" s="7" t="str">
        <x:v>Mohammad</x:v>
      </x:c>
      <x:c r="G5" s="7" t="str">
        <x:v>Y</x:v>
      </x:c>
      <x:c r="H5" s="7" t="str">
        <x:v>32 h/week including review and contingency; confirm</x:v>
      </x:c>
      <x:c r="I5" s="8" t="n">
        <x:v>32</x:v>
      </x:c>
    </x:row>
    <x:row r="6" ht="64" customHeight="1">
      <x:c r="A6" s="7" t="str">
        <x:v>Zhaolin</x:v>
      </x:c>
      <x:c r="B6" s="8" t="str"/>
      <x:c r="C6" s="7" t="str">
        <x:v>Path following</x:v>
      </x:c>
      <x:c r="D6" s="7" t="str">
        <x:v>A: Continuous route, controller and calibration</x:v>
      </x:c>
      <x:c r="E6" s="7" t="str">
        <x:v>E5: Parking</x:v>
      </x:c>
      <x:c r="F6" s="7" t="str">
        <x:v>Abdullah</x:v>
      </x:c>
      <x:c r="G6" s="7" t="str">
        <x:v>Y</x:v>
      </x:c>
      <x:c r="H6" s="7" t="str">
        <x:v>32 h/week including review and contingency; confirm</x:v>
      </x:c>
      <x:c r="I6" s="8" t="n">
        <x:v>32</x:v>
      </x:c>
    </x:row>
    <x:row r="7" ht="64" customHeight="1">
      <x:c r="A7" s="7" t="str">
        <x:v>Saviour</x:v>
      </x:c>
      <x:c r="B7" s="8" t="str"/>
      <x:c r="C7" s="7" t="str">
        <x:v>Unconfirmed in supplied A1 plan</x:v>
      </x:c>
      <x:c r="D7" s="7" t="str">
        <x:v>F: Interfaces, harness, CI and evaluation</x:v>
      </x:c>
      <x:c r="E7" s="7" t="str">
        <x:v>E4: Remote client, failover and latency analysis</x:v>
      </x:c>
      <x:c r="F7" s="7" t="str">
        <x:v>Ricky</x:v>
      </x:c>
      <x:c r="G7" s="7" t="str">
        <x:v>N</x:v>
      </x:c>
      <x:c r="H7" s="7" t="str">
        <x:v>32 h/week including review and contingency; confirm</x:v>
      </x:c>
      <x:c r="I7" s="8" t="n">
        <x:v>32</x:v>
      </x:c>
    </x:row>
  </x:sheetData>
  <x:dataValidations count="1">
    <x:dataValidation type="list" sqref="G2:G7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9c2e1db1144faa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9" hidden="0" customWidth="1"/>
    <x:col min="3" max="3" width="16" hidden="0" customWidth="1"/>
    <x:col min="4" max="4" width="88" hidden="0" customWidth="1"/>
    <x:col min="5" max="5" width="16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21" hidden="0" customWidth="1"/>
    <x:col min="11" max="11" width="38" hidden="0" customWidth="1"/>
  </x:cols>
  <x:sheetData>
    <x:row r="1" ht="32" customHeight="1">
      <x:c r="A1" s="6" t="str">
        <x:v>Gate</x:v>
      </x:c>
      <x:c r="B1" s="6" t="str">
        <x:v>Title</x:v>
      </x:c>
      <x:c r="C1" s="6" t="str">
        <x:v>Due Date</x:v>
      </x:c>
      <x:c r="D1" s="6" t="str">
        <x:v>Exit Criteria</x:v>
      </x:c>
      <x:c r="E1" s="6" t="str">
        <x:v>Owner</x:v>
      </x:c>
      <x:c r="F1" s="6" t="str">
        <x:v>Active tasks</x:v>
      </x:c>
      <x:c r="G1" s="6" t="str">
        <x:v>Done tasks</x:v>
      </x:c>
      <x:c r="H1" s="6" t="str">
        <x:v>Done %</x:v>
      </x:c>
      <x:c r="I1" s="6" t="str">
        <x:v>Cut tasks</x:v>
      </x:c>
      <x:c r="J1" s="6" t="str">
        <x:v>Gate decision</x:v>
      </x:c>
      <x:c r="K1" s="6" t="str">
        <x:v>Evidence</x:v>
      </x:c>
    </x:row>
    <x:row r="2" ht="80" customHeight="1">
      <x:c r="A2" s="7" t="str">
        <x:v>G0</x:v>
      </x:c>
      <x:c r="B2" s="7" t="str">
        <x:v>Contracts and runnable skeleton</x:v>
      </x:c>
      <x:c r="C2" s="10" t="n">
        <x:v>46309</x:v>
      </x:c>
      <x:c r="D2" s="7" t="str">
        <x:v>A2 repo, reconciled lane modules, interfaces/depth/scenario specs, extension hooks, runnable harness stack, Town10HD smoke, A1 capture, tutor scope request ready/sent by member.</x:v>
      </x:c>
      <x:c r="E2" s="7" t="str">
        <x:v>Saviour</x:v>
      </x:c>
      <x:c r="F2" s="7" t="n">
        <x:f>COUNTIFS('Tasks'!$G$2:$G$224,A2)-COUNTIFS('Tasks'!$G$2:$G$224,A2,'Tasks'!$V$2:$V$224,"Cut")</x:f>
        <x:v>20</x:v>
      </x:c>
      <x:c r="G2" s="7" t="n">
        <x:f>COUNTIFS('Tasks'!$G$2:$G$224,A2,'Tasks'!$V$2:$V$224,"Done")</x:f>
        <x:v>0</x:v>
      </x:c>
      <x:c r="H2" s="15" t="n">
        <x:f>IF(F2=0,"n.a.",G2/F2)</x:f>
        <x:v>0</x:v>
      </x:c>
      <x:c r="I2" s="7" t="n">
        <x:f>COUNTIFS('Tasks'!$G$2:$G$224,A2,'Tasks'!$V$2:$V$224,"Cut")</x:f>
        <x:v>0</x:v>
      </x:c>
      <x:c r="J2" s="7" t="str">
        <x:v>Not reviewed</x:v>
      </x:c>
      <x:c r="K2" s="7" t="str"/>
    </x:row>
    <x:row r="3" ht="80" customHeight="1">
      <x:c r="A3" s="7" t="str">
        <x:v>G1</x:v>
      </x:c>
      <x:c r="B3" s="7" t="str">
        <x:v>Navigation gate</x:v>
      </x:c>
      <x:c r="C3" s="10" t="n">
        <x:v>46313</x:v>
      </x:c>
      <x:c r="D3" s="7" t="str">
        <x:v>Calibration complete; S0 passes 5/5; dataset available; harness S0 in CI; thresholds and step frozen.</x:v>
      </x:c>
      <x:c r="E3" s="7" t="str">
        <x:v>Zhaolin</x:v>
      </x:c>
      <x:c r="F3" s="7" t="n">
        <x:f>COUNTIFS('Tasks'!$G$2:$G$224,A3)-COUNTIFS('Tasks'!$G$2:$G$224,A3,'Tasks'!$V$2:$V$224,"Cut")</x:f>
        <x:v>53</x:v>
      </x:c>
      <x:c r="G3" s="7" t="n">
        <x:f>COUNTIFS('Tasks'!$G$2:$G$224,A3,'Tasks'!$V$2:$V$224,"Done")</x:f>
        <x:v>0</x:v>
      </x:c>
      <x:c r="H3" s="15" t="n">
        <x:f>IF(F3=0,"n.a.",G3/F3)</x:f>
        <x:v>0</x:v>
      </x:c>
      <x:c r="I3" s="7" t="n">
        <x:f>COUNTIFS('Tasks'!$G$2:$G$224,A3,'Tasks'!$V$2:$V$224,"Cut")</x:f>
        <x:v>0</x:v>
      </x:c>
      <x:c r="J3" s="7" t="str">
        <x:v>Not reviewed</x:v>
      </x:c>
      <x:c r="K3" s="7" t="str"/>
    </x:row>
    <x:row r="4" ht="80" customHeight="1">
      <x:c r="A4" s="7" t="str">
        <x:v>G2</x:v>
      </x:c>
      <x:c r="B4" s="7" t="str">
        <x:v>First obstacle stop</x:v>
      </x:c>
      <x:c r="C4" s="10" t="n">
        <x:v>46316</x:v>
      </x:c>
      <x:c r="D4" s="7" t="str">
        <x:v>S1 produces a perception-driven controlled stop end-to-end in CARLA; this is not full baseline acceptance.</x:v>
      </x:c>
      <x:c r="E4" s="7" t="str">
        <x:v>Abdullah</x:v>
      </x:c>
      <x:c r="F4" s="7" t="n">
        <x:f>COUNTIFS('Tasks'!$G$2:$G$224,A4)-COUNTIFS('Tasks'!$G$2:$G$224,A4,'Tasks'!$V$2:$V$224,"Cut")</x:f>
        <x:v>19</x:v>
      </x:c>
      <x:c r="G4" s="7" t="n">
        <x:f>COUNTIFS('Tasks'!$G$2:$G$224,A4,'Tasks'!$V$2:$V$224,"Done")</x:f>
        <x:v>0</x:v>
      </x:c>
      <x:c r="H4" s="15" t="n">
        <x:f>IF(F4=0,"n.a.",G4/F4)</x:f>
        <x:v>0</x:v>
      </x:c>
      <x:c r="I4" s="7" t="n">
        <x:f>COUNTIFS('Tasks'!$G$2:$G$224,A4,'Tasks'!$V$2:$V$224,"Cut")</x:f>
        <x:v>0</x:v>
      </x:c>
      <x:c r="J4" s="7" t="str">
        <x:v>Not reviewed</x:v>
      </x:c>
      <x:c r="K4" s="7" t="str"/>
    </x:row>
    <x:row r="5" ht="80" customHeight="1">
      <x:c r="A5" s="7" t="str">
        <x:v>G3</x:v>
      </x:c>
      <x:c r="B5" s="7" t="str">
        <x:v>Baseline freeze</x:v>
      </x:c>
      <x:c r="C5" s="10" t="n">
        <x:v>46320</x:v>
      </x:c>
      <x:c r="D5" s="7" t="str">
        <x:v>S0-S5 each run &gt;=5 times; all applicable thresholds pass. Any limitation is explicitly recorded as a failed/conditional gate, not a pass. One-command regression.</x:v>
      </x:c>
      <x:c r="E5" s="7" t="str">
        <x:v>Alan</x:v>
      </x:c>
      <x:c r="F5" s="7" t="n">
        <x:f>COUNTIFS('Tasks'!$G$2:$G$224,A5)-COUNTIFS('Tasks'!$G$2:$G$224,A5,'Tasks'!$V$2:$V$224,"Cut")</x:f>
        <x:v>46</x:v>
      </x:c>
      <x:c r="G5" s="7" t="n">
        <x:f>COUNTIFS('Tasks'!$G$2:$G$224,A5,'Tasks'!$V$2:$V$224,"Done")</x:f>
        <x:v>0</x:v>
      </x:c>
      <x:c r="H5" s="15" t="n">
        <x:f>IF(F5=0,"n.a.",G5/F5)</x:f>
        <x:v>0</x:v>
      </x:c>
      <x:c r="I5" s="7" t="n">
        <x:f>COUNTIFS('Tasks'!$G$2:$G$224,A5,'Tasks'!$V$2:$V$224,"Cut")</x:f>
        <x:v>0</x:v>
      </x:c>
      <x:c r="J5" s="7" t="str">
        <x:v>Not reviewed</x:v>
      </x:c>
      <x:c r="K5" s="7" t="str"/>
    </x:row>
    <x:row r="6" ht="80" customHeight="1">
      <x:c r="A6" s="7" t="str">
        <x:v>G4</x:v>
      </x:c>
      <x:c r="B6" s="7" t="str">
        <x:v>Extension admission</x:v>
      </x:c>
      <x:c r="C6" s="10" t="n">
        <x:v>46323</x:v>
      </x:c>
      <x:c r="D6" s="7" t="str">
        <x:v>Each admitted flag and the selected flag combination pass baseline regression; extension evidence passes. Unfinished flags stay out of release configuration.</x:v>
      </x:c>
      <x:c r="E6" s="7" t="str">
        <x:v>Mohammad</x:v>
      </x:c>
      <x:c r="F6" s="7" t="n">
        <x:f>COUNTIFS('Tasks'!$G$2:$G$224,A6)-COUNTIFS('Tasks'!$G$2:$G$224,A6,'Tasks'!$V$2:$V$224,"Cut")</x:f>
        <x:v>22</x:v>
      </x:c>
      <x:c r="G6" s="7" t="n">
        <x:f>COUNTIFS('Tasks'!$G$2:$G$224,A6,'Tasks'!$V$2:$V$224,"Done")</x:f>
        <x:v>0</x:v>
      </x:c>
      <x:c r="H6" s="15" t="n">
        <x:f>IF(F6=0,"n.a.",G6/F6)</x:f>
        <x:v>0</x:v>
      </x:c>
      <x:c r="I6" s="7" t="n">
        <x:f>COUNTIFS('Tasks'!$G$2:$G$224,A6,'Tasks'!$V$2:$V$224,"Cut")</x:f>
        <x:v>0</x:v>
      </x:c>
      <x:c r="J6" s="7" t="str">
        <x:v>Not reviewed</x:v>
      </x:c>
      <x:c r="K6" s="7" t="str"/>
    </x:row>
    <x:row r="7" ht="80" customHeight="1">
      <x:c r="A7" s="7" t="str">
        <x:v>G5</x:v>
      </x:c>
      <x:c r="B7" s="7" t="str">
        <x:v>Submission ready</x:v>
      </x:c>
      <x:c r="C7" s="10" t="n">
        <x:v>46326</x:v>
      </x:c>
      <x:c r="D7" s="7" t="str">
        <x:v>Fresh clone by non-author, report within both limits, generated docs, backup video, two rehearsals, individual readiness checks. Official submission dates still to confirm.</x:v>
      </x:c>
      <x:c r="E7" s="7" t="str">
        <x:v>Saviour</x:v>
      </x:c>
      <x:c r="F7" s="7" t="n">
        <x:f>COUNTIFS('Tasks'!$G$2:$G$224,A7)-COUNTIFS('Tasks'!$G$2:$G$224,A7,'Tasks'!$V$2:$V$224,"Cut")</x:f>
        <x:v>63</x:v>
      </x:c>
      <x:c r="G7" s="7" t="n">
        <x:f>COUNTIFS('Tasks'!$G$2:$G$224,A7,'Tasks'!$V$2:$V$224,"Done")</x:f>
        <x:v>0</x:v>
      </x:c>
      <x:c r="H7" s="15" t="n">
        <x:f>IF(F7=0,"n.a.",G7/F7)</x:f>
        <x:v>0</x:v>
      </x:c>
      <x:c r="I7" s="7" t="n">
        <x:f>COUNTIFS('Tasks'!$G$2:$G$224,A7,'Tasks'!$V$2:$V$224,"Cut")</x:f>
        <x:v>0</x:v>
      </x:c>
      <x:c r="J7" s="7" t="str">
        <x:v>Not reviewed</x:v>
      </x:c>
      <x:c r="K7" s="7" t="str"/>
    </x:row>
  </x:sheetData>
  <x:dataValidations count="1">
    <x:dataValidation type="list" sqref="J2:J7">
      <x:formula1>"Not reviewed,Pass,Blocked,Conditional"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de6365028449e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5" hidden="0" customWidth="1"/>
    <x:col min="3" max="3" width="50" hidden="0" customWidth="1"/>
  </x:cols>
  <x:sheetData>
    <x:row r="1" ht="32" customHeight="1">
      <x:c r="A1" s="6" t="str">
        <x:v>Name</x:v>
      </x:c>
      <x:c r="B1" s="6" t="str">
        <x:v>Colour</x:v>
      </x:c>
      <x:c r="C1" s="6" t="str">
        <x:v>Description</x:v>
      </x:c>
    </x:row>
    <x:row r="2" ht="28" customHeight="1">
      <x:c r="A2" s="2" t="str">
        <x:v>carla-required</x:v>
      </x:c>
      <x:c r="B2" s="2" t="str">
        <x:v>0F766E</x:v>
      </x:c>
      <x:c r="C2" s="2" t="str">
        <x:v>carla required</x:v>
      </x:c>
    </x:row>
    <x:row r="3" ht="28" customHeight="1">
      <x:c r="A3" s="2" t="str">
        <x:v>category:a1-revamp</x:v>
      </x:c>
      <x:c r="B3" s="2" t="str">
        <x:v>0F766E</x:v>
      </x:c>
      <x:c r="C3" s="2" t="str">
        <x:v>category: a1 revamp</x:v>
      </x:c>
    </x:row>
    <x:row r="4" ht="28" customHeight="1">
      <x:c r="A4" s="2" t="str">
        <x:v>category:baseline</x:v>
      </x:c>
      <x:c r="B4" s="2" t="str">
        <x:v>0F766E</x:v>
      </x:c>
      <x:c r="C4" s="2" t="str">
        <x:v>category: baseline</x:v>
      </x:c>
    </x:row>
    <x:row r="5" ht="28" customHeight="1">
      <x:c r="A5" s="2" t="str">
        <x:v>category:demo</x:v>
      </x:c>
      <x:c r="B5" s="2" t="str">
        <x:v>0F766E</x:v>
      </x:c>
      <x:c r="C5" s="2" t="str">
        <x:v>category: demo</x:v>
      </x:c>
    </x:row>
    <x:row r="6" ht="28" customHeight="1">
      <x:c r="A6" s="2" t="str">
        <x:v>category:docs-report</x:v>
      </x:c>
      <x:c r="B6" s="2" t="str">
        <x:v>0F766E</x:v>
      </x:c>
      <x:c r="C6" s="2" t="str">
        <x:v>category: docs report</x:v>
      </x:c>
    </x:row>
    <x:row r="7" ht="28" customHeight="1">
      <x:c r="A7" s="2" t="str">
        <x:v>category:extension</x:v>
      </x:c>
      <x:c r="B7" s="2" t="str">
        <x:v>0F766E</x:v>
      </x:c>
      <x:c r="C7" s="2" t="str">
        <x:v>category: extension</x:v>
      </x:c>
    </x:row>
    <x:row r="8" ht="28" customHeight="1">
      <x:c r="A8" s="2" t="str">
        <x:v>category:individual</x:v>
      </x:c>
      <x:c r="B8" s="2" t="str">
        <x:v>0F766E</x:v>
      </x:c>
      <x:c r="C8" s="2" t="str">
        <x:v>category: individual</x:v>
      </x:c>
    </x:row>
    <x:row r="9" ht="28" customHeight="1">
      <x:c r="A9" s="2" t="str">
        <x:v>category:process</x:v>
      </x:c>
      <x:c r="B9" s="2" t="str">
        <x:v>0F766E</x:v>
      </x:c>
      <x:c r="C9" s="2" t="str">
        <x:v>category: process</x:v>
      </x:c>
    </x:row>
    <x:row r="10" ht="28" customHeight="1">
      <x:c r="A10" s="2" t="str">
        <x:v>category:testing</x:v>
      </x:c>
      <x:c r="B10" s="2" t="str">
        <x:v>0F766E</x:v>
      </x:c>
      <x:c r="C10" s="2" t="str">
        <x:v>category: testing</x:v>
      </x:c>
    </x:row>
    <x:row r="11" ht="28" customHeight="1">
      <x:c r="A11" s="2" t="str">
        <x:v>extension:e1</x:v>
      </x:c>
      <x:c r="B11" s="2" t="str">
        <x:v>7C3AED</x:v>
      </x:c>
      <x:c r="C11" s="2" t="str">
        <x:v>extension: e1</x:v>
      </x:c>
    </x:row>
    <x:row r="12" ht="28" customHeight="1">
      <x:c r="A12" s="2" t="str">
        <x:v>extension:e2</x:v>
      </x:c>
      <x:c r="B12" s="2" t="str">
        <x:v>7C3AED</x:v>
      </x:c>
      <x:c r="C12" s="2" t="str">
        <x:v>extension: e2</x:v>
      </x:c>
    </x:row>
    <x:row r="13" ht="28" customHeight="1">
      <x:c r="A13" s="2" t="str">
        <x:v>extension:e3</x:v>
      </x:c>
      <x:c r="B13" s="2" t="str">
        <x:v>7C3AED</x:v>
      </x:c>
      <x:c r="C13" s="2" t="str">
        <x:v>extension: e3</x:v>
      </x:c>
    </x:row>
    <x:row r="14" ht="28" customHeight="1">
      <x:c r="A14" s="2" t="str">
        <x:v>extension:e4</x:v>
      </x:c>
      <x:c r="B14" s="2" t="str">
        <x:v>7C3AED</x:v>
      </x:c>
      <x:c r="C14" s="2" t="str">
        <x:v>extension: e4</x:v>
      </x:c>
    </x:row>
    <x:row r="15" ht="28" customHeight="1">
      <x:c r="A15" s="2" t="str">
        <x:v>extension:e5</x:v>
      </x:c>
      <x:c r="B15" s="2" t="str">
        <x:v>7C3AED</x:v>
      </x:c>
      <x:c r="C15" s="2" t="str">
        <x:v>extension: e5</x:v>
      </x:c>
    </x:row>
    <x:row r="16" ht="28" customHeight="1">
      <x:c r="A16" s="2" t="str">
        <x:v>priority:p0</x:v>
      </x:c>
      <x:c r="B16" s="2" t="str">
        <x:v>B91C1C</x:v>
      </x:c>
      <x:c r="C16" s="2" t="str">
        <x:v>priority: p0</x:v>
      </x:c>
    </x:row>
    <x:row r="17" ht="28" customHeight="1">
      <x:c r="A17" s="2" t="str">
        <x:v>priority:p1</x:v>
      </x:c>
      <x:c r="B17" s="2" t="str">
        <x:v>D97706</x:v>
      </x:c>
      <x:c r="C17" s="2" t="str">
        <x:v>priority: p1</x:v>
      </x:c>
    </x:row>
    <x:row r="18" ht="28" customHeight="1">
      <x:c r="A18" s="2" t="str">
        <x:v>priority:p2</x:v>
      </x:c>
      <x:c r="B18" s="2" t="str">
        <x:v>64748B</x:v>
      </x:c>
      <x:c r="C18" s="2" t="str">
        <x:v>priority: p2</x:v>
      </x:c>
    </x:row>
    <x:row r="19" ht="28" customHeight="1">
      <x:c r="A19" s="2" t="str">
        <x:v>workstream:a</x:v>
      </x:c>
      <x:c r="B19" s="2" t="str">
        <x:v>1D4ED8</x:v>
      </x:c>
      <x:c r="C19" s="2" t="str">
        <x:v>workstream: a</x:v>
      </x:c>
    </x:row>
    <x:row r="20" ht="28" customHeight="1">
      <x:c r="A20" s="2" t="str">
        <x:v>workstream:b</x:v>
      </x:c>
      <x:c r="B20" s="2" t="str">
        <x:v>1D4ED8</x:v>
      </x:c>
      <x:c r="C20" s="2" t="str">
        <x:v>workstream: b</x:v>
      </x:c>
    </x:row>
    <x:row r="21" ht="28" customHeight="1">
      <x:c r="A21" s="2" t="str">
        <x:v>workstream:c</x:v>
      </x:c>
      <x:c r="B21" s="2" t="str">
        <x:v>1D4ED8</x:v>
      </x:c>
      <x:c r="C21" s="2" t="str">
        <x:v>workstream: c</x:v>
      </x:c>
    </x:row>
    <x:row r="22" ht="28" customHeight="1">
      <x:c r="A22" s="2" t="str">
        <x:v>workstream:d</x:v>
      </x:c>
      <x:c r="B22" s="2" t="str">
        <x:v>1D4ED8</x:v>
      </x:c>
      <x:c r="C22" s="2" t="str">
        <x:v>workstream: d</x:v>
      </x:c>
    </x:row>
    <x:row r="23" ht="28" customHeight="1">
      <x:c r="A23" s="2" t="str">
        <x:v>workstream:e</x:v>
      </x:c>
      <x:c r="B23" s="2" t="str">
        <x:v>1D4ED8</x:v>
      </x:c>
      <x:c r="C23" s="2" t="str">
        <x:v>workstream: e</x:v>
      </x:c>
    </x:row>
    <x:row r="24" ht="28" customHeight="1">
      <x:c r="A24" s="2" t="str">
        <x:v>workstream:f</x:v>
      </x:c>
      <x:c r="B24" s="2" t="str">
        <x:v>1D4ED8</x:v>
      </x:c>
      <x:c r="C24" s="2" t="str">
        <x:v>workstream: f</x:v>
      </x:c>
    </x:row>
  </x:sheetData>
  <x:pageMargins left="0.7" right="0.7" top="0.75" bottom="0.75" header="0.3" footer="0.3"/>
  <x:tableParts count="1">
    <x:tablePart xmlns:r="http://schemas.openxmlformats.org/officeDocument/2006/relationships" r:id="R9c16168535284c2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5" hidden="0" customWidth="1"/>
    <x:col min="4" max="4" width="15" hidden="0" customWidth="1"/>
    <x:col min="5" max="5" width="45" hidden="0" customWidth="1"/>
    <x:col min="6" max="6" width="74" hidden="0" customWidth="1"/>
    <x:col min="7" max="7" width="17" hidden="0" customWidth="1"/>
    <x:col min="8" max="8" width="35" hidden="0" customWidth="1"/>
    <x:col min="9" max="9" width="66" hidden="0" customWidth="1"/>
  </x:cols>
  <x:sheetData>
    <x:row r="1" ht="32" customHeight="1">
      <x:c r="A1" s="6" t="str">
        <x:v>ID</x:v>
      </x:c>
      <x:c r="B1" s="6" t="str">
        <x:v>Risk</x:v>
      </x:c>
      <x:c r="C1" s="6" t="str">
        <x:v>Likelihood</x:v>
      </x:c>
      <x:c r="D1" s="6" t="str">
        <x:v>Impact</x:v>
      </x:c>
      <x:c r="E1" s="6" t="str">
        <x:v>Trigger</x:v>
      </x:c>
      <x:c r="F1" s="6" t="str">
        <x:v>Mitigation</x:v>
      </x:c>
      <x:c r="G1" s="6" t="str">
        <x:v>Owner</x:v>
      </x:c>
      <x:c r="H1" s="6" t="str">
        <x:v>Task links</x:v>
      </x:c>
      <x:c r="I1" s="6" t="str">
        <x:v>Fallback / cut</x:v>
      </x:c>
    </x:row>
    <x:row r="2" ht="90" customHeight="1">
      <x:c r="A2" s="7" t="str">
        <x:v>R01</x:v>
      </x:c>
      <x:c r="B2" s="7" t="str">
        <x:v>LFS weights missing from archive</x:v>
      </x:c>
      <x:c r="C2" s="7" t="str">
        <x:v>High</x:v>
      </x:c>
      <x:c r="D2" s="7" t="str">
        <x:v>High</x:v>
      </x:c>
      <x:c r="E2" s="7" t="str">
        <x:v>Day 1 checksum/load fails</x:v>
      </x:c>
      <x:c r="F2" s="7" t="str">
        <x:v>Recover lane and segmentation objects through authorized clone; keep checksum manifest and local backups.</x:v>
      </x:c>
      <x:c r="G2" s="7" t="str">
        <x:v>Abdullah</x:v>
      </x:c>
      <x:c r="H2" s="7" t="str">
        <x:v>RV-01, RV-02</x:v>
      </x:c>
      <x:c r="I2" s="7" t="str">
        <x:v>Disable optional model until recovered; baseline detector asset checked separately.</x:v>
      </x:c>
    </x:row>
    <x:row r="3" ht="90" customHeight="1">
      <x:c r="A3" s="7" t="str">
        <x:v>R02</x:v>
      </x:c>
      <x:c r="B3" s="7" t="str">
        <x:v>Navigation calibration or route still unstable</x:v>
      </x:c>
      <x:c r="C3" s="7" t="str">
        <x:v>Medium</x:v>
      </x:c>
      <x:c r="D3" s="7" t="str">
        <x:v>High</x:v>
      </x:c>
      <x:c r="E3" s="7" t="str">
        <x:v>S0 fails G1</x:v>
      </x:c>
      <x:c r="F3" s="7" t="str">
        <x:v>Fix signs, cm/m units, rear axle and physical steering response; keep one continuous legal path.</x:v>
      </x:c>
      <x:c r="G3" s="7" t="str">
        <x:v>Zhaolin</x:v>
      </x:c>
      <x:c r="H3" s="7" t="str">
        <x:v>BL-E-02, BL-A-05</x:v>
      </x:c>
      <x:c r="I3" s="7" t="str">
        <x:v>Freeze extension work; simplify route only with documented scope decision.</x:v>
      </x:c>
    </x:row>
    <x:row r="4" ht="90" customHeight="1">
      <x:c r="A4" s="7" t="str">
        <x:v>R03</x:v>
      </x:c>
      <x:c r="B4" s="7" t="str">
        <x:v>Pedestrian confirmed too late to stop</x:v>
      </x:c>
      <x:c r="C4" s="7" t="str">
        <x:v>High</x:v>
      </x:c>
      <x:c r="D4" s="7" t="str">
        <x:v>High</x:v>
      </x:c>
      <x:c r="E4" s="7" t="str">
        <x:v>First confirmation &lt;25 m or long track delay</x:v>
      </x:c>
      <x:c r="F4" s="7" t="str">
        <x:v>Sweep image size and track confirmation; recompute stopping envelope from measured deceleration/delay.</x:v>
      </x:c>
      <x:c r="G4" s="7" t="str">
        <x:v>Ricky</x:v>
      </x:c>
      <x:c r="H4" s="7" t="str">
        <x:v>BL-C-05, BL-D-06</x:v>
      </x:c>
      <x:c r="I4" s="7" t="str">
        <x:v>Lower cruise speed and rerun; never shrink margin to manufacture a pass.</x:v>
      </x:c>
    </x:row>
    <x:row r="5" ht="90" customHeight="1">
      <x:c r="A5" s="7" t="str">
        <x:v>R04</x:v>
      </x:c>
      <x:c r="B5" s="7" t="str">
        <x:v>Noisy or misregistered RGB-D geometry</x:v>
      </x:c>
      <x:c r="C5" s="7" t="str">
        <x:v>Medium</x:v>
      </x:c>
      <x:c r="D5" s="7" t="str">
        <x:v>High</x:v>
      </x:c>
      <x:c r="E5" s="7" t="str">
        <x:v>Frame mismatch or depth error &gt;0.5 m</x:v>
      </x:c>
      <x:c r="F5" s="7" t="str">
        <x:v>Exact frame joins, matching ego snapshot, explicit depth convention and validity tests.</x:v>
      </x:c>
      <x:c r="G5" s="7" t="str">
        <x:v>Mohammad</x:v>
      </x:c>
      <x:c r="H5" s="7" t="str">
        <x:v>BL-B-02, BL-B-04</x:v>
      </x:c>
      <x:c r="I5" s="7" t="str">
        <x:v>Controlled stop when depth invalid; flagged ground fallback remains conservative.</x:v>
      </x:c>
    </x:row>
    <x:row r="6" ht="90" customHeight="1">
      <x:c r="A6" s="7" t="str">
        <x:v>R05</x:v>
      </x:c>
      <x:c r="B6" s="7" t="str">
        <x:v>Track loss falsely interpreted as clear road</x:v>
      </x:c>
      <x:c r="C6" s="7" t="str">
        <x:v>High</x:v>
      </x:c>
      <x:c r="D6" s="7" t="str">
        <x:v>High</x:v>
      </x:c>
      <x:c r="E6" s="7" t="str">
        <x:v>Resume during physical obstacle occlusion</x:v>
      </x:c>
      <x:c r="F6" s="7" t="str">
        <x:v>Require fresh valid corridor coverage plus clear hysteresis; expiry alone cannot authorize resume.</x:v>
      </x:c>
      <x:c r="G6" s="7" t="str">
        <x:v>Alan</x:v>
      </x:c>
      <x:c r="H6" s="7" t="str">
        <x:v>BL-D-08, TEST-15</x:v>
      </x:c>
      <x:c r="I6" s="7" t="str">
        <x:v>Remain in HOLD or EMERGENCY_STOP until reset/valid clearance.</x:v>
      </x:c>
    </x:row>
    <x:row r="7" ht="90" customHeight="1">
      <x:c r="A7" s="7" t="str">
        <x:v>R06</x:v>
      </x:c>
      <x:c r="B7" s="7" t="str">
        <x:v>Demo laptop misses wall-clock deadline</x:v>
      </x:c>
      <x:c r="C7" s="7" t="str">
        <x:v>High</x:v>
      </x:c>
      <x:c r="D7" s="7" t="str">
        <x:v>High</x:v>
      </x:c>
      <x:c r="E7" s="7" t="str">
        <x:v>p95 &gt;100 ms or local fallback not ready</x:v>
      </x:c>
      <x:c r="F7" s="7" t="str">
        <x:v>Profile full rig; choose 0.05/0.10 s at G1, rate-limit optional workloads and prewarm models.</x:v>
      </x:c>
      <x:c r="G7" s="7" t="str">
        <x:v>Abdullah</x:v>
      </x:c>
      <x:c r="H7" s="7" t="str">
        <x:v>TEST-03, TEST-17, TEST-22</x:v>
      </x:c>
      <x:c r="I7" s="7" t="str">
        <x:v>Cut optional flags; synchronous slow motion is reported, not called real time.</x:v>
      </x:c>
    </x:row>
    <x:row r="8" ht="90" customHeight="1">
      <x:c r="A8" s="7" t="str">
        <x:v>R07</x:v>
      </x:c>
      <x:c r="B8" s="7" t="str">
        <x:v>Extensions delay required baseline</x:v>
      </x:c>
      <x:c r="C8" s="7" t="str">
        <x:v>High</x:v>
      </x:c>
      <x:c r="D8" s="7" t="str">
        <x:v>High</x:v>
      </x:c>
      <x:c r="E8" s="7" t="str">
        <x:v>G1/G2/G3 missed</x:v>
      </x:c>
      <x:c r="F8" s="7" t="str">
        <x:v>P0 work takes capacity from P2, then P1; flags isolated until G3.</x:v>
      </x:c>
      <x:c r="G8" s="7" t="str">
        <x:v>Saviour</x:v>
      </x:c>
      <x:c r="H8" s="7" t="str">
        <x:v>G1-01, G3-01</x:v>
      </x:c>
      <x:c r="I8" s="7" t="str">
        <x:v>Cut P2, cloud deployment, P1 parking, Wayfinder UI in documented order.</x:v>
      </x:c>
    </x:row>
    <x:row r="9" ht="90" customHeight="1">
      <x:c r="A9" s="7" t="str">
        <x:v>R08</x:v>
      </x:c>
      <x:c r="B9" s="7" t="str">
        <x:v>Cloud deadline or tracker sessions unsafe</x:v>
      </x:c>
      <x:c r="C9" s="7" t="str">
        <x:v>High</x:v>
      </x:c>
      <x:c r="D9" s="7" t="str">
        <x:v>High</x:v>
      </x:c>
      <x:c r="E9" s="7" t="str">
        <x:v>Late/old result applied or fallback stalls</x:v>
      </x:c>
      <x:c r="F9" s="7" t="str">
        <x:v>Concurrent warm local path, bounded queues, run/frame/session checks, namespace IDs and stop if neither result is valid.</x:v>
      </x:c>
      <x:c r="G9" s="7" t="str">
        <x:v>Saviour</x:v>
      </x:c>
      <x:c r="H9" s="7" t="str">
        <x:v>E4-05, E4-10</x:v>
      </x:c>
      <x:c r="I9" s="7" t="str">
        <x:v>Local-only offline demo; cloud result remains optional benchmark.</x:v>
      </x:c>
    </x:row>
    <x:row r="10" ht="90" customHeight="1">
      <x:c r="A10" s="7" t="str">
        <x:v>R09</x:v>
      </x:c>
      <x:c r="B10" s="7" t="str">
        <x:v>Ground truth leaks into obstacle control</x:v>
      </x:c>
      <x:c r="C10" s="7" t="str">
        <x:v>Medium</x:v>
      </x:c>
      <x:c r="D10" s="7" t="str">
        <x:v>High</x:v>
      </x:c>
      <x:c r="E10" s="7" t="str">
        <x:v>Core reads actor/light states</x:v>
      </x:c>
      <x:c r="F10" s="7" t="str">
        <x:v>Separate evaluation packet; permit only declared map topology and ego pose for navigation.</x:v>
      </x:c>
      <x:c r="G10" s="7" t="str">
        <x:v>Alan</x:v>
      </x:c>
      <x:c r="H10" s="7" t="str">
        <x:v>BL-F-01, TEST-09</x:v>
      </x:c>
      <x:c r="I10" s="7" t="str">
        <x:v>Tutor confirmation and import/data-flow audit; remove actor-based obstacle shortcuts.</x:v>
      </x:c>
    </x:row>
    <x:row r="11" ht="90" customHeight="1">
      <x:c r="A11" s="7" t="str">
        <x:v>R10</x:v>
      </x:c>
      <x:c r="B11" s="7" t="str">
        <x:v>Different laptops or versions diverge</x:v>
      </x:c>
      <x:c r="C11" s="7" t="str">
        <x:v>Medium</x:v>
      </x:c>
      <x:c r="D11" s="7" t="str">
        <x:v>High</x:v>
      </x:c>
      <x:c r="E11" s="7" t="str">
        <x:v>Fresh clone cannot reproduce run</x:v>
      </x:c>
      <x:c r="F11" s="7" t="str">
        <x:v>Pin server/client/package/model versions; same blueprint/config; test primary and backup.</x:v>
      </x:c>
      <x:c r="G11" s="7" t="str">
        <x:v>Mohammad</x:v>
      </x:c>
      <x:c r="H11" s="7" t="str">
        <x:v>PROC-02, TEST-12</x:v>
      </x:c>
      <x:c r="I11" s="7" t="str">
        <x:v>Use validated laptop/config, offline model cache and recorded backup.</x:v>
      </x:c>
    </x:row>
    <x:row r="12" ht="90" customHeight="1">
      <x:c r="A12" s="7" t="str">
        <x:v>R11</x:v>
      </x:c>
      <x:c r="B12" s="7" t="str">
        <x:v>Sparse LiDAR or background depth false positives</x:v>
      </x:c>
      <x:c r="C12" s="7" t="str">
        <x:v>Medium</x:v>
      </x:c>
      <x:c r="D12" s="7" t="str">
        <x:v>Medium</x:v>
      </x:c>
      <x:c r="E12" s="7" t="str">
        <x:v>Roadside object causes stop</x:v>
      </x:c>
      <x:c r="F12" s="7" t="str">
        <x:v>Ground filter and footprint tests, range bins and source confirmation; conservative disagreement handling.</x:v>
      </x:c>
      <x:c r="G12" s="7" t="str">
        <x:v>Mohammad</x:v>
      </x:c>
      <x:c r="H12" s="7" t="str">
        <x:v>E2-03, E2-06</x:v>
      </x:c>
      <x:c r="I12" s="7" t="str">
        <x:v>Keep source flag off until regressions pass.</x:v>
      </x:c>
    </x:row>
    <x:row r="13" ht="90" customHeight="1">
      <x:c r="A13" s="7" t="str">
        <x:v>R12</x:v>
      </x:c>
      <x:c r="B13" s="7" t="str">
        <x:v>Report/demo/individual requirements missed</x:v>
      </x:c>
      <x:c r="C13" s="7" t="str">
        <x:v>Medium</x:v>
      </x:c>
      <x:c r="D13" s="7" t="str">
        <x:v>High</x:v>
      </x:c>
      <x:c r="E13" s="7" t="str">
        <x:v>Unknown deadline or no backup/AI records</x:v>
      </x:c>
      <x:c r="F13" s="7" t="str">
        <x:v>Verify dates in Week 1; readiness checks by 31 Oct; two rehearsals and per-member private reminders.</x:v>
      </x:c>
      <x:c r="G13" s="7" t="str">
        <x:v>Saviour</x:v>
      </x:c>
      <x:c r="H13" s="7" t="str">
        <x:v>PROC-03, G5-01</x:v>
      </x:c>
      <x:c r="I13" s="7" t="str">
        <x:v>Use 1 Nov contingency, not an assumed course extension.</x:v>
      </x:c>
    </x:row>
    <x:row r="14" ht="90" customHeight="1">
      <x:c r="A14" s="7" t="str">
        <x:v>R13</x:v>
      </x:c>
      <x:c r="B14" s="7" t="str">
        <x:v>Parking scope or A1 reverse API breaks core</x:v>
      </x:c>
      <x:c r="C14" s="7" t="str">
        <x:v>High</x:v>
      </x:c>
      <x:c r="D14" s="7" t="str">
        <x:v>Medium</x:v>
      </x:c>
      <x:c r="E14" s="7" t="str">
        <x:v>P1 misses tolerance or negative speed rejected</x:v>
      </x:c>
      <x:c r="F14" s="7" t="str">
        <x:v>Keep MotionState/reverse control separate; P1 before P2; five-trial admission.</x:v>
      </x:c>
      <x:c r="G14" s="7" t="str">
        <x:v>Zhaolin</x:v>
      </x:c>
      <x:c r="H14" s="7" t="str">
        <x:v>E5-01, E5-06, E5-09</x:v>
      </x:c>
      <x:c r="I14" s="7" t="str">
        <x:v>Cut reverse first; show harness-only prototype honestly.</x:v>
      </x:c>
    </x:row>
  </x:sheetData>
  <x:pageMargins left="0.7" right="0.7" top="0.75" bottom="0.75" header="0.3" footer="0.3"/>
  <x:tableParts count="1">
    <x:tablePart xmlns:r="http://schemas.openxmlformats.org/officeDocument/2006/relationships" r:id="R452bcd46e9b2409a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52" hidden="0" customWidth="1"/>
    <x:col min="3" max="3" width="48" hidden="0" customWidth="1"/>
    <x:col min="4" max="4" width="16" hidden="0" customWidth="1"/>
    <x:col min="5" max="5" width="13" hidden="0" customWidth="1"/>
    <x:col min="6" max="6" width="15" hidden="0" customWidth="1"/>
    <x:col min="7" max="7" width="15" hidden="0" customWidth="1"/>
    <x:col min="8" max="8" width="17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42" hidden="0" customWidth="1"/>
    <x:col min="14" max="14" width="74" hidden="0" customWidth="1"/>
  </x:cols>
  <x:sheetData>
    <x:row r="1" ht="32" customHeight="1">
      <x:c r="A1" s="6" t="str">
        <x:v>Scenario</x:v>
      </x:c>
      <x:c r="B1" s="6" t="str">
        <x:v>Setup</x:v>
      </x:c>
      <x:c r="C1" s="6" t="str">
        <x:v>Metric</x:v>
      </x:c>
      <x:c r="D1" s="6" t="str">
        <x:v>Unit</x:v>
      </x:c>
      <x:c r="E1" s="6" t="str">
        <x:v>Rule</x:v>
      </x:c>
      <x:c r="F1" s="6" t="str">
        <x:v>Lower</x:v>
      </x:c>
      <x:c r="G1" s="6" t="str">
        <x:v>Upper</x:v>
      </x:c>
      <x:c r="H1" s="6" t="str">
        <x:v>Required runs</x:v>
      </x:c>
      <x:c r="I1" s="6" t="str">
        <x:v>Completed runs</x:v>
      </x:c>
      <x:c r="J1" s="6" t="str">
        <x:v>Result</x:v>
      </x:c>
      <x:c r="K1" s="6" t="str">
        <x:v>Pass / Fail</x:v>
      </x:c>
      <x:c r="L1" s="6" t="str">
        <x:v>Owner</x:v>
      </x:c>
      <x:c r="M1" s="6" t="str">
        <x:v>Evidence</x:v>
      </x:c>
      <x:c r="N1" s="6" t="str">
        <x:v>Notes</x:v>
      </x:c>
    </x:row>
    <x:row r="2" ht="60" customHeight="1">
      <x:c r="A2" s="7" t="str">
        <x:v>S0</x:v>
      </x:c>
      <x:c r="B2" s="7" t="str">
        <x:v>Open mission; no obstacles</x:v>
      </x:c>
      <x:c r="C2" s="7" t="str">
        <x:v>Route completion (minimum per run)</x:v>
      </x:c>
      <x:c r="D2" s="7" t="str">
        <x:v>fraction</x:v>
      </x:c>
      <x:c r="E2" s="7" t="str">
        <x:v>&gt;=</x:v>
      </x:c>
      <x:c r="F2" s="25" t="n">
        <x:v>1</x:v>
      </x:c>
      <x:c r="G2" s="25"/>
      <x:c r="H2" s="27" t="n">
        <x:v>5</x:v>
      </x:c>
      <x:c r="I2" s="28" t="n">
        <x:v>0</x:v>
      </x:c>
      <x:c r="J2" s="26"/>
      <x:c r="K2" s="7" t="str">
        <x:f>IF(E2="N/A","N/A",IF(I2=0,"NOT RUN",IF(I2&lt;H2,"INCOMPLETE",IF(ISBLANK(J2),"NO RESULT",IF(E2="report","REPORTED",IF(E2="&gt;=",IF(J2&gt;=F2,"PASS","FAIL"),IF(E2="&lt;=",IF(J2&lt;=G2,"PASS","FAIL"),IF(J2=F2,"PASS","FAIL"))))))))</x:f>
        <x:v>NOT RUN</x:v>
      </x:c>
      <x:c r="L2" s="7" t="str">
        <x:v>Zhaolin</x:v>
      </x:c>
      <x:c r="M2" s="7" t="str"/>
      <x:c r="N2" s="7" t="str">
        <x:v>S4 intentionally cannot finish; do not fail it for incomplete route.</x:v>
      </x:c>
    </x:row>
    <x:row r="3" ht="60" customHeight="1">
      <x:c r="A3" s="7" t="str">
        <x:v>S0</x:v>
      </x:c>
      <x:c r="B3" s="7" t="str">
        <x:v>Open mission; no obstacles</x:v>
      </x:c>
      <x:c r="C3" s="7" t="str">
        <x:v>Collisions (maximum per run)</x:v>
      </x:c>
      <x:c r="D3" s="7" t="str">
        <x:v>count</x:v>
      </x:c>
      <x:c r="E3" s="7" t="str">
        <x:v>=</x:v>
      </x:c>
      <x:c r="F3" s="25" t="n">
        <x:v>0</x:v>
      </x:c>
      <x:c r="G3" s="25" t="n">
        <x:v>0</x:v>
      </x:c>
      <x:c r="H3" s="27" t="n">
        <x:v>5</x:v>
      </x:c>
      <x:c r="I3" s="28" t="n">
        <x:v>0</x:v>
      </x:c>
      <x:c r="J3" s="26"/>
      <x:c r="K3" s="7" t="str">
        <x:f>IF(E3="N/A","N/A",IF(I3=0,"NOT RUN",IF(I3&lt;H3,"INCOMPLETE",IF(ISBLANK(J3),"NO RESULT",IF(E3="report","REPORTED",IF(E3="&gt;=",IF(J3&gt;=F3,"PASS","FAIL"),IF(E3="&lt;=",IF(J3&lt;=G3,"PASS","FAIL"),IF(J3=F3,"PASS","FAIL"))))))))</x:f>
        <x:v>NOT RUN</x:v>
      </x:c>
      <x:c r="L3" s="7" t="str">
        <x:v>Zhaolin</x:v>
      </x:c>
      <x:c r="M3" s="7" t="str"/>
      <x:c r="N3" s="7" t="str">
        <x:v>Every trial must have zero; record unique contacts consistently.</x:v>
      </x:c>
    </x:row>
    <x:row r="4" ht="60" customHeight="1">
      <x:c r="A4" s="7" t="str">
        <x:v>S0</x:v>
      </x:c>
      <x:c r="B4" s="7" t="str">
        <x:v>Open mission; no obstacles</x:v>
      </x:c>
      <x:c r="C4" s="7" t="str">
        <x:v>Unplanned lane invasions (max per run)</x:v>
      </x:c>
      <x:c r="D4" s="7" t="str">
        <x:v>count</x:v>
      </x:c>
      <x:c r="E4" s="7" t="str">
        <x:v>=</x:v>
      </x:c>
      <x:c r="F4" s="25" t="n">
        <x:v>0</x:v>
      </x:c>
      <x:c r="G4" s="25" t="n">
        <x:v>0</x:v>
      </x:c>
      <x:c r="H4" s="27" t="n">
        <x:v>5</x:v>
      </x:c>
      <x:c r="I4" s="28" t="n">
        <x:v>0</x:v>
      </x:c>
      <x:c r="J4" s="26"/>
      <x:c r="K4" s="7" t="str">
        <x:f>IF(E4="N/A","N/A",IF(I4=0,"NOT RUN",IF(I4&lt;H4,"INCOMPLETE",IF(ISBLANK(J4),"NO RESULT",IF(E4="report","REPORTED",IF(E4="&gt;=",IF(J4&gt;=F4,"PASS","FAIL"),IF(E4="&lt;=",IF(J4&lt;=G4,"PASS","FAIL"),IF(J4=F4,"PASS","FAIL"))))))))</x:f>
        <x:v>NOT RUN</x:v>
      </x:c>
      <x:c r="L4" s="7" t="str">
        <x:v>Zhaolin</x:v>
      </x:c>
      <x:c r="M4" s="7" t="str"/>
      <x:c r="N4" s="7" t="str">
        <x:v>Exclude only mapped, declared legal maneuvers; never blanket-exclude junctions.</x:v>
      </x:c>
    </x:row>
    <x:row r="5" ht="60" customHeight="1">
      <x:c r="A5" s="7" t="str">
        <x:v>S0</x:v>
      </x:c>
      <x:c r="B5" s="7" t="str">
        <x:v>Open mission; no obstacles</x:v>
      </x:c>
      <x:c r="C5" s="7" t="str">
        <x:v>Cross-track mean (worst run)</x:v>
      </x:c>
      <x:c r="D5" s="7" t="str">
        <x:v>m</x:v>
      </x:c>
      <x:c r="E5" s="7" t="str">
        <x:v>&lt;=</x:v>
      </x:c>
      <x:c r="F5" s="25"/>
      <x:c r="G5" s="25" t="n">
        <x:v>0.3</x:v>
      </x:c>
      <x:c r="H5" s="27" t="n">
        <x:v>5</x:v>
      </x:c>
      <x:c r="I5" s="28" t="n">
        <x:v>0</x:v>
      </x:c>
      <x:c r="J5" s="26"/>
      <x:c r="K5" s="7" t="str">
        <x:f>IF(E5="N/A","N/A",IF(I5=0,"NOT RUN",IF(I5&lt;H5,"INCOMPLETE",IF(ISBLANK(J5),"NO RESULT",IF(E5="report","REPORTED",IF(E5="&gt;=",IF(J5&gt;=F5,"PASS","FAIL"),IF(E5="&lt;=",IF(J5&lt;=G5,"PASS","FAIL"),IF(J5=F5,"PASS","FAIL"))))))))</x:f>
        <x:v>NOT RUN</x:v>
      </x:c>
      <x:c r="L5" s="7" t="str">
        <x:v>Zhaolin</x:v>
      </x:c>
      <x:c r="M5" s="7" t="str"/>
      <x:c r="N5" s="7" t="str">
        <x:v>Rear-axle distance to continuous reference; signed trace also retained.</x:v>
      </x:c>
    </x:row>
    <x:row r="6" ht="60" customHeight="1">
      <x:c r="A6" s="7" t="str">
        <x:v>S0</x:v>
      </x:c>
      <x:c r="B6" s="7" t="str">
        <x:v>Open mission; no obstacles</x:v>
      </x:c>
      <x:c r="C6" s="7" t="str">
        <x:v>Cruise speed RMS (worst run)</x:v>
      </x:c>
      <x:c r="D6" s="7" t="str">
        <x:v>m/s</x:v>
      </x:c>
      <x:c r="E6" s="7" t="str">
        <x:v>&lt;=</x:v>
      </x:c>
      <x:c r="F6" s="25"/>
      <x:c r="G6" s="25" t="n">
        <x:v>0.5</x:v>
      </x:c>
      <x:c r="H6" s="27" t="n">
        <x:v>5</x:v>
      </x:c>
      <x:c r="I6" s="28" t="n">
        <x:v>0</x:v>
      </x:c>
      <x:c r="J6" s="26"/>
      <x:c r="K6" s="7" t="str">
        <x:f>IF(E6="N/A","N/A",IF(I6=0,"NOT RUN",IF(I6&lt;H6,"INCOMPLETE",IF(ISBLANK(J6),"NO RESULT",IF(E6="report","REPORTED",IF(E6="&gt;=",IF(J6&gt;=F6,"PASS","FAIL"),IF(E6="&lt;=",IF(J6&lt;=G6,"PASS","FAIL"),IF(J6=F6,"PASS","FAIL"))))))))</x:f>
        <x:v>NOT RUN</x:v>
      </x:c>
      <x:c r="L6" s="7" t="str">
        <x:v>Zhaolin</x:v>
      </x:c>
      <x:c r="M6" s="7" t="str"/>
      <x:c r="N6" s="7" t="str">
        <x:v>Only stable cruise windows, no approach/HOLD/goal transients; report n ticks.</x:v>
      </x:c>
    </x:row>
    <x:row r="7" ht="60" customHeight="1">
      <x:c r="A7" s="7" t="str">
        <x:v>S0</x:v>
      </x:c>
      <x:c r="B7" s="7" t="str">
        <x:v>Open mission; no obstacles</x:v>
      </x:c>
      <x:c r="C7" s="7" t="str">
        <x:v>Capture-to-apply p95 (worst run)</x:v>
      </x:c>
      <x:c r="D7" s="7" t="str">
        <x:v>ms</x:v>
      </x:c>
      <x:c r="E7" s="7" t="str">
        <x:v>&lt;=</x:v>
      </x:c>
      <x:c r="F7" s="25"/>
      <x:c r="G7" s="25" t="n">
        <x:v>100</x:v>
      </x:c>
      <x:c r="H7" s="27" t="n">
        <x:v>5</x:v>
      </x:c>
      <x:c r="I7" s="28" t="n">
        <x:v>0</x:v>
      </x:c>
      <x:c r="J7" s="26"/>
      <x:c r="K7" s="7" t="str">
        <x:f>IF(E7="N/A","N/A",IF(I7=0,"NOT RUN",IF(I7&lt;H7,"INCOMPLETE",IF(ISBLANK(J7),"NO RESULT",IF(E7="report","REPORTED",IF(E7="&gt;=",IF(J7&gt;=F7,"PASS","FAIL"),IF(E7="&lt;=",IF(J7&lt;=G7,"PASS","FAIL"),IF(J7=F7,"PASS","FAIL"))))))))</x:f>
        <x:v>NOT RUN</x:v>
      </x:c>
      <x:c r="L7" s="7" t="str">
        <x:v>Zhaolin</x:v>
      </x:c>
      <x:c r="M7" s="7" t="str"/>
      <x:c r="N7" s="7" t="str">
        <x:v>Local monotonic clock; also report simulation frame age and real-time factor.</x:v>
      </x:c>
    </x:row>
    <x:row r="8" ht="60" customHeight="1">
      <x:c r="A8" s="7" t="str">
        <x:v>S0</x:v>
      </x:c>
      <x:c r="B8" s="7" t="str">
        <x:v>Open mission; no obstacles</x:v>
      </x:c>
      <x:c r="C8" s="7" t="str">
        <x:v>False stops (maximum per run)</x:v>
      </x:c>
      <x:c r="D8" s="7" t="str">
        <x:v>count</x:v>
      </x:c>
      <x:c r="E8" s="7" t="str">
        <x:v>=</x:v>
      </x:c>
      <x:c r="F8" s="25" t="n">
        <x:v>0</x:v>
      </x:c>
      <x:c r="G8" s="25" t="n">
        <x:v>0</x:v>
      </x:c>
      <x:c r="H8" s="27" t="n">
        <x:v>5</x:v>
      </x:c>
      <x:c r="I8" s="28" t="n">
        <x:v>0</x:v>
      </x:c>
      <x:c r="J8" s="26"/>
      <x:c r="K8" s="7" t="str">
        <x:f>IF(E8="N/A","N/A",IF(I8=0,"NOT RUN",IF(I8&lt;H8,"INCOMPLETE",IF(ISBLANK(J8),"NO RESULT",IF(E8="report","REPORTED",IF(E8="&gt;=",IF(J8&gt;=F8,"PASS","FAIL"),IF(E8="&lt;=",IF(J8&lt;=G8,"PASS","FAIL"),IF(J8=F8,"PASS","FAIL"))))))))</x:f>
        <x:v>NOT RUN</x:v>
      </x:c>
      <x:c r="L8" s="7" t="str">
        <x:v>Zhaolin</x:v>
      </x:c>
      <x:c r="M8" s="7" t="str"/>
      <x:c r="N8" s="7" t="str">
        <x:v>Unexpected target &lt;0.1 m/s for &gt;=1 s outside goal window; freeze definition at G1.</x:v>
      </x:c>
    </x:row>
    <x:row r="9" ht="60" customHeight="1">
      <x:c r="A9" s="7" t="str">
        <x:v>S1</x:v>
      </x:c>
      <x:c r="B9" s="7" t="str">
        <x:v>Car in corridor; HOLD then scripted removal</x:v>
      </x:c>
      <x:c r="C9" s="7" t="str">
        <x:v>Route completion (minimum per run)</x:v>
      </x:c>
      <x:c r="D9" s="7" t="str">
        <x:v>fraction</x:v>
      </x:c>
      <x:c r="E9" s="7" t="str">
        <x:v>&gt;=</x:v>
      </x:c>
      <x:c r="F9" s="25" t="n">
        <x:v>1</x:v>
      </x:c>
      <x:c r="G9" s="25"/>
      <x:c r="H9" s="27" t="n">
        <x:v>5</x:v>
      </x:c>
      <x:c r="I9" s="28" t="n">
        <x:v>0</x:v>
      </x:c>
      <x:c r="J9" s="26"/>
      <x:c r="K9" s="7" t="str">
        <x:f>IF(E9="N/A","N/A",IF(I9=0,"NOT RUN",IF(I9&lt;H9,"INCOMPLETE",IF(ISBLANK(J9),"NO RESULT",IF(E9="report","REPORTED",IF(E9="&gt;=",IF(J9&gt;=F9,"PASS","FAIL"),IF(E9="&lt;=",IF(J9&lt;=G9,"PASS","FAIL"),IF(J9=F9,"PASS","FAIL"))))))))</x:f>
        <x:v>NOT RUN</x:v>
      </x:c>
      <x:c r="L9" s="7" t="str">
        <x:v>Alan</x:v>
      </x:c>
      <x:c r="M9" s="7" t="str"/>
      <x:c r="N9" s="7" t="str">
        <x:v>S4 intentionally cannot finish; do not fail it for incomplete route.</x:v>
      </x:c>
    </x:row>
    <x:row r="10" ht="60" customHeight="1">
      <x:c r="A10" s="7" t="str">
        <x:v>S1</x:v>
      </x:c>
      <x:c r="B10" s="7" t="str">
        <x:v>Car in corridor; HOLD then scripted removal</x:v>
      </x:c>
      <x:c r="C10" s="7" t="str">
        <x:v>Collisions (maximum per run)</x:v>
      </x:c>
      <x:c r="D10" s="7" t="str">
        <x:v>count</x:v>
      </x:c>
      <x:c r="E10" s="7" t="str">
        <x:v>=</x:v>
      </x:c>
      <x:c r="F10" s="25" t="n">
        <x:v>0</x:v>
      </x:c>
      <x:c r="G10" s="25" t="n">
        <x:v>0</x:v>
      </x:c>
      <x:c r="H10" s="27" t="n">
        <x:v>5</x:v>
      </x:c>
      <x:c r="I10" s="28" t="n">
        <x:v>0</x:v>
      </x:c>
      <x:c r="J10" s="26"/>
      <x:c r="K10" s="7" t="str">
        <x:f>IF(E10="N/A","N/A",IF(I10=0,"NOT RUN",IF(I10&lt;H10,"INCOMPLETE",IF(ISBLANK(J10),"NO RESULT",IF(E10="report","REPORTED",IF(E10="&gt;=",IF(J10&gt;=F10,"PASS","FAIL"),IF(E10="&lt;=",IF(J10&lt;=G10,"PASS","FAIL"),IF(J10=F10,"PASS","FAIL"))))))))</x:f>
        <x:v>NOT RUN</x:v>
      </x:c>
      <x:c r="L10" s="7" t="str">
        <x:v>Alan</x:v>
      </x:c>
      <x:c r="M10" s="7" t="str"/>
      <x:c r="N10" s="7" t="str">
        <x:v>Every trial must have zero; record unique contacts consistently.</x:v>
      </x:c>
    </x:row>
    <x:row r="11" ht="60" customHeight="1">
      <x:c r="A11" s="7" t="str">
        <x:v>S1</x:v>
      </x:c>
      <x:c r="B11" s="7" t="str">
        <x:v>Car in corridor; HOLD then scripted removal</x:v>
      </x:c>
      <x:c r="C11" s="7" t="str">
        <x:v>Unplanned lane invasions (max per run)</x:v>
      </x:c>
      <x:c r="D11" s="7" t="str">
        <x:v>count</x:v>
      </x:c>
      <x:c r="E11" s="7" t="str">
        <x:v>=</x:v>
      </x:c>
      <x:c r="F11" s="25" t="n">
        <x:v>0</x:v>
      </x:c>
      <x:c r="G11" s="25" t="n">
        <x:v>0</x:v>
      </x:c>
      <x:c r="H11" s="27" t="n">
        <x:v>5</x:v>
      </x:c>
      <x:c r="I11" s="28" t="n">
        <x:v>0</x:v>
      </x:c>
      <x:c r="J11" s="26"/>
      <x:c r="K11" s="7" t="str">
        <x:f>IF(E11="N/A","N/A",IF(I11=0,"NOT RUN",IF(I11&lt;H11,"INCOMPLETE",IF(ISBLANK(J11),"NO RESULT",IF(E11="report","REPORTED",IF(E11="&gt;=",IF(J11&gt;=F11,"PASS","FAIL"),IF(E11="&lt;=",IF(J11&lt;=G11,"PASS","FAIL"),IF(J11=F11,"PASS","FAIL"))))))))</x:f>
        <x:v>NOT RUN</x:v>
      </x:c>
      <x:c r="L11" s="7" t="str">
        <x:v>Alan</x:v>
      </x:c>
      <x:c r="M11" s="7" t="str"/>
      <x:c r="N11" s="7" t="str">
        <x:v>Exclude only mapped, declared legal maneuvers; never blanket-exclude junctions.</x:v>
      </x:c>
    </x:row>
    <x:row r="12" ht="60" customHeight="1">
      <x:c r="A12" s="7" t="str">
        <x:v>S1</x:v>
      </x:c>
      <x:c r="B12" s="7" t="str">
        <x:v>Car in corridor; HOLD then scripted removal</x:v>
      </x:c>
      <x:c r="C12" s="7" t="str">
        <x:v>Cross-track mean (worst run)</x:v>
      </x:c>
      <x:c r="D12" s="7" t="str">
        <x:v>m</x:v>
      </x:c>
      <x:c r="E12" s="7" t="str">
        <x:v>&lt;=</x:v>
      </x:c>
      <x:c r="F12" s="25"/>
      <x:c r="G12" s="25" t="n">
        <x:v>0.3</x:v>
      </x:c>
      <x:c r="H12" s="27" t="n">
        <x:v>5</x:v>
      </x:c>
      <x:c r="I12" s="28" t="n">
        <x:v>0</x:v>
      </x:c>
      <x:c r="J12" s="26"/>
      <x:c r="K12" s="7" t="str">
        <x:f>IF(E12="N/A","N/A",IF(I12=0,"NOT RUN",IF(I12&lt;H12,"INCOMPLETE",IF(ISBLANK(J12),"NO RESULT",IF(E12="report","REPORTED",IF(E12="&gt;=",IF(J12&gt;=F12,"PASS","FAIL"),IF(E12="&lt;=",IF(J12&lt;=G12,"PASS","FAIL"),IF(J12=F12,"PASS","FAIL"))))))))</x:f>
        <x:v>NOT RUN</x:v>
      </x:c>
      <x:c r="L12" s="7" t="str">
        <x:v>Alan</x:v>
      </x:c>
      <x:c r="M12" s="7" t="str"/>
      <x:c r="N12" s="7" t="str">
        <x:v>Rear-axle distance to continuous reference; signed trace also retained.</x:v>
      </x:c>
    </x:row>
    <x:row r="13" ht="60" customHeight="1">
      <x:c r="A13" s="7" t="str">
        <x:v>S1</x:v>
      </x:c>
      <x:c r="B13" s="7" t="str">
        <x:v>Car in corridor; HOLD then scripted removal</x:v>
      </x:c>
      <x:c r="C13" s="7" t="str">
        <x:v>Cruise speed RMS (worst run)</x:v>
      </x:c>
      <x:c r="D13" s="7" t="str">
        <x:v>m/s</x:v>
      </x:c>
      <x:c r="E13" s="7" t="str">
        <x:v>&lt;=</x:v>
      </x:c>
      <x:c r="F13" s="25"/>
      <x:c r="G13" s="25" t="n">
        <x:v>0.5</x:v>
      </x:c>
      <x:c r="H13" s="27" t="n">
        <x:v>5</x:v>
      </x:c>
      <x:c r="I13" s="28" t="n">
        <x:v>0</x:v>
      </x:c>
      <x:c r="J13" s="26"/>
      <x:c r="K13" s="7" t="str">
        <x:f>IF(E13="N/A","N/A",IF(I13=0,"NOT RUN",IF(I13&lt;H13,"INCOMPLETE",IF(ISBLANK(J13),"NO RESULT",IF(E13="report","REPORTED",IF(E13="&gt;=",IF(J13&gt;=F13,"PASS","FAIL"),IF(E13="&lt;=",IF(J13&lt;=G13,"PASS","FAIL"),IF(J13=F13,"PASS","FAIL"))))))))</x:f>
        <x:v>NOT RUN</x:v>
      </x:c>
      <x:c r="L13" s="7" t="str">
        <x:v>Alan</x:v>
      </x:c>
      <x:c r="M13" s="7" t="str"/>
      <x:c r="N13" s="7" t="str">
        <x:v>Only stable cruise windows, no approach/HOLD/goal transients; report n ticks.</x:v>
      </x:c>
    </x:row>
    <x:row r="14" ht="60" customHeight="1">
      <x:c r="A14" s="7" t="str">
        <x:v>S1</x:v>
      </x:c>
      <x:c r="B14" s="7" t="str">
        <x:v>Car in corridor; HOLD then scripted removal</x:v>
      </x:c>
      <x:c r="C14" s="7" t="str">
        <x:v>Capture-to-apply p95 (worst run)</x:v>
      </x:c>
      <x:c r="D14" s="7" t="str">
        <x:v>ms</x:v>
      </x:c>
      <x:c r="E14" s="7" t="str">
        <x:v>&lt;=</x:v>
      </x:c>
      <x:c r="F14" s="25"/>
      <x:c r="G14" s="25" t="n">
        <x:v>100</x:v>
      </x:c>
      <x:c r="H14" s="27" t="n">
        <x:v>5</x:v>
      </x:c>
      <x:c r="I14" s="28" t="n">
        <x:v>0</x:v>
      </x:c>
      <x:c r="J14" s="26"/>
      <x:c r="K14" s="7" t="str">
        <x:f>IF(E14="N/A","N/A",IF(I14=0,"NOT RUN",IF(I14&lt;H14,"INCOMPLETE",IF(ISBLANK(J14),"NO RESULT",IF(E14="report","REPORTED",IF(E14="&gt;=",IF(J14&gt;=F14,"PASS","FAIL"),IF(E14="&lt;=",IF(J14&lt;=G14,"PASS","FAIL"),IF(J14=F14,"PASS","FAIL"))))))))</x:f>
        <x:v>NOT RUN</x:v>
      </x:c>
      <x:c r="L14" s="7" t="str">
        <x:v>Alan</x:v>
      </x:c>
      <x:c r="M14" s="7" t="str"/>
      <x:c r="N14" s="7" t="str">
        <x:v>Local monotonic clock; also report simulation frame age and real-time factor.</x:v>
      </x:c>
    </x:row>
    <x:row r="15" ht="60" customHeight="1">
      <x:c r="A15" s="7" t="str">
        <x:v>S1</x:v>
      </x:c>
      <x:c r="B15" s="7" t="str">
        <x:v>Car in corridor; HOLD then scripted removal</x:v>
      </x:c>
      <x:c r="C15" s="7" t="str">
        <x:v>Minimum stopped bumper margin</x:v>
      </x:c>
      <x:c r="D15" s="7" t="str">
        <x:v>m</x:v>
      </x:c>
      <x:c r="E15" s="7" t="str">
        <x:v>&gt;=</x:v>
      </x:c>
      <x:c r="F15" s="25" t="n">
        <x:v>2.5</x:v>
      </x:c>
      <x:c r="G15" s="25"/>
      <x:c r="H15" s="27" t="n">
        <x:v>5</x:v>
      </x:c>
      <x:c r="I15" s="28" t="n">
        <x:v>0</x:v>
      </x:c>
      <x:c r="J15" s="26"/>
      <x:c r="K15" s="7" t="str">
        <x:f>IF(E15="N/A","N/A",IF(I15=0,"NOT RUN",IF(I15&lt;H15,"INCOMPLETE",IF(ISBLANK(J15),"NO RESULT",IF(E15="report","REPORTED",IF(E15="&gt;=",IF(J15&gt;=F15,"PASS","FAIL"),IF(E15="&lt;=",IF(J15&lt;=G15,"PASS","FAIL"),IF(J15=F15,"PASS","FAIL"))))))))</x:f>
        <x:v>NOT RUN</x:v>
      </x:c>
      <x:c r="L15" s="7" t="str">
        <x:v>Alan</x:v>
      </x:c>
      <x:c r="M15" s="7" t="str"/>
      <x:c r="N15" s="7" t="str">
        <x:v>Ground-truth surface gap after speed &lt;=0.1 m/s; minimum across trials.</x:v>
      </x:c>
    </x:row>
    <x:row r="16" ht="60" customHeight="1">
      <x:c r="A16" s="7" t="str">
        <x:v>S1</x:v>
      </x:c>
      <x:c r="B16" s="7" t="str">
        <x:v>Car in corridor; HOLD then scripted removal</x:v>
      </x:c>
      <x:c r="C16" s="7" t="str">
        <x:v>Maximum stopped bumper margin</x:v>
      </x:c>
      <x:c r="D16" s="7" t="str">
        <x:v>m</x:v>
      </x:c>
      <x:c r="E16" s="7" t="str">
        <x:v>&lt;=</x:v>
      </x:c>
      <x:c r="F16" s="25"/>
      <x:c r="G16" s="25" t="n">
        <x:v>6</x:v>
      </x:c>
      <x:c r="H16" s="27" t="n">
        <x:v>5</x:v>
      </x:c>
      <x:c r="I16" s="28" t="n">
        <x:v>0</x:v>
      </x:c>
      <x:c r="J16" s="26"/>
      <x:c r="K16" s="7" t="str">
        <x:f>IF(E16="N/A","N/A",IF(I16=0,"NOT RUN",IF(I16&lt;H16,"INCOMPLETE",IF(ISBLANK(J16),"NO RESULT",IF(E16="report","REPORTED",IF(E16="&gt;=",IF(J16&gt;=F16,"PASS","FAIL"),IF(E16="&lt;=",IF(J16&lt;=G16,"PASS","FAIL"),IF(J16=F16,"PASS","FAIL"))))))))</x:f>
        <x:v>NOT RUN</x:v>
      </x:c>
      <x:c r="L16" s="7" t="str">
        <x:v>Alan</x:v>
      </x:c>
      <x:c r="M16" s="7" t="str"/>
      <x:c r="N16" s="7" t="str">
        <x:v>Maximum across trial steady HOLD margins.</x:v>
      </x:c>
    </x:row>
    <x:row r="17" ht="60" customHeight="1">
      <x:c r="A17" s="7" t="str">
        <x:v>S1</x:v>
      </x:c>
      <x:c r="B17" s="7" t="str">
        <x:v>Car in corridor; HOLD then scripted removal</x:v>
      </x:c>
      <x:c r="C17" s="7" t="str">
        <x:v>HOLD maximum speed</x:v>
      </x:c>
      <x:c r="D17" s="7" t="str">
        <x:v>m/s</x:v>
      </x:c>
      <x:c r="E17" s="7" t="str">
        <x:v>&lt;=</x:v>
      </x:c>
      <x:c r="F17" s="25"/>
      <x:c r="G17" s="25" t="n">
        <x:v>0.1</x:v>
      </x:c>
      <x:c r="H17" s="27" t="n">
        <x:v>5</x:v>
      </x:c>
      <x:c r="I17" s="28" t="n">
        <x:v>0</x:v>
      </x:c>
      <x:c r="J17" s="26"/>
      <x:c r="K17" s="7" t="str">
        <x:f>IF(E17="N/A","N/A",IF(I17=0,"NOT RUN",IF(I17&lt;H17,"INCOMPLETE",IF(ISBLANK(J17),"NO RESULT",IF(E17="report","REPORTED",IF(E17="&gt;=",IF(J17&gt;=F17,"PASS","FAIL"),IF(E17="&lt;=",IF(J17&lt;=G17,"PASS","FAIL"),IF(J17=F17,"PASS","FAIL"))))))))</x:f>
        <x:v>NOT RUN</x:v>
      </x:c>
      <x:c r="L17" s="7" t="str">
        <x:v>Alan</x:v>
      </x:c>
      <x:c r="M17" s="7" t="str"/>
      <x:c r="N17" s="7" t="str">
        <x:v>Recommended operational definition frozen at G1.</x:v>
      </x:c>
    </x:row>
    <x:row r="18" ht="60" customHeight="1">
      <x:c r="A18" s="7" t="str">
        <x:v>S1</x:v>
      </x:c>
      <x:c r="B18" s="7" t="str">
        <x:v>Car in corridor; HOLD then scripted removal</x:v>
      </x:c>
      <x:c r="C18" s="7" t="str">
        <x:v>Resume delay (median)</x:v>
      </x:c>
      <x:c r="D18" s="7" t="str">
        <x:v>s</x:v>
      </x:c>
      <x:c r="E18" s="7" t="str">
        <x:v>report</x:v>
      </x:c>
      <x:c r="F18" s="25"/>
      <x:c r="G18" s="25"/>
      <x:c r="H18" s="27" t="n">
        <x:v>5</x:v>
      </x:c>
      <x:c r="I18" s="28" t="n">
        <x:v>0</x:v>
      </x:c>
      <x:c r="J18" s="26"/>
      <x:c r="K18" s="7" t="str">
        <x:f>IF(E18="N/A","N/A",IF(I18=0,"NOT RUN",IF(I18&lt;H18,"INCOMPLETE",IF(ISBLANK(J18),"NO RESULT",IF(E18="report","REPORTED",IF(E18="&gt;=",IF(J18&gt;=F18,"PASS","FAIL"),IF(E18="&lt;=",IF(J18&lt;=G18,"PASS","FAIL"),IF(J18=F18,"PASS","FAIL"))))))))</x:f>
        <x:v>NOT RUN</x:v>
      </x:c>
      <x:c r="L18" s="7" t="str">
        <x:v>Alan</x:v>
      </x:c>
      <x:c r="M18" s="7" t="str"/>
      <x:c r="N18" s="7" t="str">
        <x:v>After scripted removal to motion; no pass threshold in prompt.</x:v>
      </x:c>
    </x:row>
    <x:row r="19" ht="60" customHeight="1">
      <x:c r="A19" s="7" t="str">
        <x:v>S2</x:v>
      </x:c>
      <x:c r="B19" s="7" t="str">
        <x:v>Pedestrian in corridor; HOLD then removal</x:v>
      </x:c>
      <x:c r="C19" s="7" t="str">
        <x:v>Route completion (minimum per run)</x:v>
      </x:c>
      <x:c r="D19" s="7" t="str">
        <x:v>fraction</x:v>
      </x:c>
      <x:c r="E19" s="7" t="str">
        <x:v>&gt;=</x:v>
      </x:c>
      <x:c r="F19" s="25" t="n">
        <x:v>1</x:v>
      </x:c>
      <x:c r="G19" s="25"/>
      <x:c r="H19" s="27" t="n">
        <x:v>5</x:v>
      </x:c>
      <x:c r="I19" s="28" t="n">
        <x:v>0</x:v>
      </x:c>
      <x:c r="J19" s="26"/>
      <x:c r="K19" s="7" t="str">
        <x:f>IF(E19="N/A","N/A",IF(I19=0,"NOT RUN",IF(I19&lt;H19,"INCOMPLETE",IF(ISBLANK(J19),"NO RESULT",IF(E19="report","REPORTED",IF(E19="&gt;=",IF(J19&gt;=F19,"PASS","FAIL"),IF(E19="&lt;=",IF(J19&lt;=G19,"PASS","FAIL"),IF(J19=F19,"PASS","FAIL"))))))))</x:f>
        <x:v>NOT RUN</x:v>
      </x:c>
      <x:c r="L19" s="7" t="str">
        <x:v>Alan</x:v>
      </x:c>
      <x:c r="M19" s="7" t="str"/>
      <x:c r="N19" s="7" t="str">
        <x:v>S4 intentionally cannot finish; do not fail it for incomplete route.</x:v>
      </x:c>
    </x:row>
    <x:row r="20" ht="60" customHeight="1">
      <x:c r="A20" s="7" t="str">
        <x:v>S2</x:v>
      </x:c>
      <x:c r="B20" s="7" t="str">
        <x:v>Pedestrian in corridor; HOLD then removal</x:v>
      </x:c>
      <x:c r="C20" s="7" t="str">
        <x:v>Collisions (maximum per run)</x:v>
      </x:c>
      <x:c r="D20" s="7" t="str">
        <x:v>count</x:v>
      </x:c>
      <x:c r="E20" s="7" t="str">
        <x:v>=</x:v>
      </x:c>
      <x:c r="F20" s="25" t="n">
        <x:v>0</x:v>
      </x:c>
      <x:c r="G20" s="25" t="n">
        <x:v>0</x:v>
      </x:c>
      <x:c r="H20" s="27" t="n">
        <x:v>5</x:v>
      </x:c>
      <x:c r="I20" s="28" t="n">
        <x:v>0</x:v>
      </x:c>
      <x:c r="J20" s="26"/>
      <x:c r="K20" s="7" t="str">
        <x:f>IF(E20="N/A","N/A",IF(I20=0,"NOT RUN",IF(I20&lt;H20,"INCOMPLETE",IF(ISBLANK(J20),"NO RESULT",IF(E20="report","REPORTED",IF(E20="&gt;=",IF(J20&gt;=F20,"PASS","FAIL"),IF(E20="&lt;=",IF(J20&lt;=G20,"PASS","FAIL"),IF(J20=F20,"PASS","FAIL"))))))))</x:f>
        <x:v>NOT RUN</x:v>
      </x:c>
      <x:c r="L20" s="7" t="str">
        <x:v>Alan</x:v>
      </x:c>
      <x:c r="M20" s="7" t="str"/>
      <x:c r="N20" s="7" t="str">
        <x:v>Every trial must have zero; record unique contacts consistently.</x:v>
      </x:c>
    </x:row>
    <x:row r="21" ht="60" customHeight="1">
      <x:c r="A21" s="7" t="str">
        <x:v>S2</x:v>
      </x:c>
      <x:c r="B21" s="7" t="str">
        <x:v>Pedestrian in corridor; HOLD then removal</x:v>
      </x:c>
      <x:c r="C21" s="7" t="str">
        <x:v>Unplanned lane invasions (max per run)</x:v>
      </x:c>
      <x:c r="D21" s="7" t="str">
        <x:v>count</x:v>
      </x:c>
      <x:c r="E21" s="7" t="str">
        <x:v>=</x:v>
      </x:c>
      <x:c r="F21" s="25" t="n">
        <x:v>0</x:v>
      </x:c>
      <x:c r="G21" s="25" t="n">
        <x:v>0</x:v>
      </x:c>
      <x:c r="H21" s="27" t="n">
        <x:v>5</x:v>
      </x:c>
      <x:c r="I21" s="28" t="n">
        <x:v>0</x:v>
      </x:c>
      <x:c r="J21" s="26"/>
      <x:c r="K21" s="7" t="str">
        <x:f>IF(E21="N/A","N/A",IF(I21=0,"NOT RUN",IF(I21&lt;H21,"INCOMPLETE",IF(ISBLANK(J21),"NO RESULT",IF(E21="report","REPORTED",IF(E21="&gt;=",IF(J21&gt;=F21,"PASS","FAIL"),IF(E21="&lt;=",IF(J21&lt;=G21,"PASS","FAIL"),IF(J21=F21,"PASS","FAIL"))))))))</x:f>
        <x:v>NOT RUN</x:v>
      </x:c>
      <x:c r="L21" s="7" t="str">
        <x:v>Alan</x:v>
      </x:c>
      <x:c r="M21" s="7" t="str"/>
      <x:c r="N21" s="7" t="str">
        <x:v>Exclude only mapped, declared legal maneuvers; never blanket-exclude junctions.</x:v>
      </x:c>
    </x:row>
    <x:row r="22" ht="60" customHeight="1">
      <x:c r="A22" s="7" t="str">
        <x:v>S2</x:v>
      </x:c>
      <x:c r="B22" s="7" t="str">
        <x:v>Pedestrian in corridor; HOLD then removal</x:v>
      </x:c>
      <x:c r="C22" s="7" t="str">
        <x:v>Cross-track mean (worst run)</x:v>
      </x:c>
      <x:c r="D22" s="7" t="str">
        <x:v>m</x:v>
      </x:c>
      <x:c r="E22" s="7" t="str">
        <x:v>&lt;=</x:v>
      </x:c>
      <x:c r="F22" s="25"/>
      <x:c r="G22" s="25" t="n">
        <x:v>0.3</x:v>
      </x:c>
      <x:c r="H22" s="27" t="n">
        <x:v>5</x:v>
      </x:c>
      <x:c r="I22" s="28" t="n">
        <x:v>0</x:v>
      </x:c>
      <x:c r="J22" s="26"/>
      <x:c r="K22" s="7" t="str">
        <x:f>IF(E22="N/A","N/A",IF(I22=0,"NOT RUN",IF(I22&lt;H22,"INCOMPLETE",IF(ISBLANK(J22),"NO RESULT",IF(E22="report","REPORTED",IF(E22="&gt;=",IF(J22&gt;=F22,"PASS","FAIL"),IF(E22="&lt;=",IF(J22&lt;=G22,"PASS","FAIL"),IF(J22=F22,"PASS","FAIL"))))))))</x:f>
        <x:v>NOT RUN</x:v>
      </x:c>
      <x:c r="L22" s="7" t="str">
        <x:v>Alan</x:v>
      </x:c>
      <x:c r="M22" s="7" t="str"/>
      <x:c r="N22" s="7" t="str">
        <x:v>Rear-axle distance to continuous reference; signed trace also retained.</x:v>
      </x:c>
    </x:row>
    <x:row r="23" ht="60" customHeight="1">
      <x:c r="A23" s="7" t="str">
        <x:v>S2</x:v>
      </x:c>
      <x:c r="B23" s="7" t="str">
        <x:v>Pedestrian in corridor; HOLD then removal</x:v>
      </x:c>
      <x:c r="C23" s="7" t="str">
        <x:v>Cruise speed RMS (worst run)</x:v>
      </x:c>
      <x:c r="D23" s="7" t="str">
        <x:v>m/s</x:v>
      </x:c>
      <x:c r="E23" s="7" t="str">
        <x:v>&lt;=</x:v>
      </x:c>
      <x:c r="F23" s="25"/>
      <x:c r="G23" s="25" t="n">
        <x:v>0.5</x:v>
      </x:c>
      <x:c r="H23" s="27" t="n">
        <x:v>5</x:v>
      </x:c>
      <x:c r="I23" s="28" t="n">
        <x:v>0</x:v>
      </x:c>
      <x:c r="J23" s="26"/>
      <x:c r="K23" s="7" t="str">
        <x:f>IF(E23="N/A","N/A",IF(I23=0,"NOT RUN",IF(I23&lt;H23,"INCOMPLETE",IF(ISBLANK(J23),"NO RESULT",IF(E23="report","REPORTED",IF(E23="&gt;=",IF(J23&gt;=F23,"PASS","FAIL"),IF(E23="&lt;=",IF(J23&lt;=G23,"PASS","FAIL"),IF(J23=F23,"PASS","FAIL"))))))))</x:f>
        <x:v>NOT RUN</x:v>
      </x:c>
      <x:c r="L23" s="7" t="str">
        <x:v>Alan</x:v>
      </x:c>
      <x:c r="M23" s="7" t="str"/>
      <x:c r="N23" s="7" t="str">
        <x:v>Only stable cruise windows, no approach/HOLD/goal transients; report n ticks.</x:v>
      </x:c>
    </x:row>
    <x:row r="24" ht="60" customHeight="1">
      <x:c r="A24" s="7" t="str">
        <x:v>S2</x:v>
      </x:c>
      <x:c r="B24" s="7" t="str">
        <x:v>Pedestrian in corridor; HOLD then removal</x:v>
      </x:c>
      <x:c r="C24" s="7" t="str">
        <x:v>Capture-to-apply p95 (worst run)</x:v>
      </x:c>
      <x:c r="D24" s="7" t="str">
        <x:v>ms</x:v>
      </x:c>
      <x:c r="E24" s="7" t="str">
        <x:v>&lt;=</x:v>
      </x:c>
      <x:c r="F24" s="25"/>
      <x:c r="G24" s="25" t="n">
        <x:v>100</x:v>
      </x:c>
      <x:c r="H24" s="27" t="n">
        <x:v>5</x:v>
      </x:c>
      <x:c r="I24" s="28" t="n">
        <x:v>0</x:v>
      </x:c>
      <x:c r="J24" s="26"/>
      <x:c r="K24" s="7" t="str">
        <x:f>IF(E24="N/A","N/A",IF(I24=0,"NOT RUN",IF(I24&lt;H24,"INCOMPLETE",IF(ISBLANK(J24),"NO RESULT",IF(E24="report","REPORTED",IF(E24="&gt;=",IF(J24&gt;=F24,"PASS","FAIL"),IF(E24="&lt;=",IF(J24&lt;=G24,"PASS","FAIL"),IF(J24=F24,"PASS","FAIL"))))))))</x:f>
        <x:v>NOT RUN</x:v>
      </x:c>
      <x:c r="L24" s="7" t="str">
        <x:v>Alan</x:v>
      </x:c>
      <x:c r="M24" s="7" t="str"/>
      <x:c r="N24" s="7" t="str">
        <x:v>Local monotonic clock; also report simulation frame age and real-time factor.</x:v>
      </x:c>
    </x:row>
    <x:row r="25" ht="60" customHeight="1">
      <x:c r="A25" s="7" t="str">
        <x:v>S2</x:v>
      </x:c>
      <x:c r="B25" s="7" t="str">
        <x:v>Pedestrian in corridor; HOLD then removal</x:v>
      </x:c>
      <x:c r="C25" s="7" t="str">
        <x:v>Minimum stopped bumper margin</x:v>
      </x:c>
      <x:c r="D25" s="7" t="str">
        <x:v>m</x:v>
      </x:c>
      <x:c r="E25" s="7" t="str">
        <x:v>&gt;=</x:v>
      </x:c>
      <x:c r="F25" s="25" t="n">
        <x:v>2.5</x:v>
      </x:c>
      <x:c r="G25" s="25"/>
      <x:c r="H25" s="27" t="n">
        <x:v>5</x:v>
      </x:c>
      <x:c r="I25" s="28" t="n">
        <x:v>0</x:v>
      </x:c>
      <x:c r="J25" s="26"/>
      <x:c r="K25" s="7" t="str">
        <x:f>IF(E25="N/A","N/A",IF(I25=0,"NOT RUN",IF(I25&lt;H25,"INCOMPLETE",IF(ISBLANK(J25),"NO RESULT",IF(E25="report","REPORTED",IF(E25="&gt;=",IF(J25&gt;=F25,"PASS","FAIL"),IF(E25="&lt;=",IF(J25&lt;=G25,"PASS","FAIL"),IF(J25=F25,"PASS","FAIL"))))))))</x:f>
        <x:v>NOT RUN</x:v>
      </x:c>
      <x:c r="L25" s="7" t="str">
        <x:v>Alan</x:v>
      </x:c>
      <x:c r="M25" s="7" t="str"/>
      <x:c r="N25" s="7" t="str">
        <x:v>Ground-truth surface gap after speed &lt;=0.1 m/s; minimum across trials.</x:v>
      </x:c>
    </x:row>
    <x:row r="26" ht="60" customHeight="1">
      <x:c r="A26" s="7" t="str">
        <x:v>S2</x:v>
      </x:c>
      <x:c r="B26" s="7" t="str">
        <x:v>Pedestrian in corridor; HOLD then removal</x:v>
      </x:c>
      <x:c r="C26" s="7" t="str">
        <x:v>Maximum stopped bumper margin</x:v>
      </x:c>
      <x:c r="D26" s="7" t="str">
        <x:v>m</x:v>
      </x:c>
      <x:c r="E26" s="7" t="str">
        <x:v>&lt;=</x:v>
      </x:c>
      <x:c r="F26" s="25"/>
      <x:c r="G26" s="25" t="n">
        <x:v>6</x:v>
      </x:c>
      <x:c r="H26" s="27" t="n">
        <x:v>5</x:v>
      </x:c>
      <x:c r="I26" s="28" t="n">
        <x:v>0</x:v>
      </x:c>
      <x:c r="J26" s="26"/>
      <x:c r="K26" s="7" t="str">
        <x:f>IF(E26="N/A","N/A",IF(I26=0,"NOT RUN",IF(I26&lt;H26,"INCOMPLETE",IF(ISBLANK(J26),"NO RESULT",IF(E26="report","REPORTED",IF(E26="&gt;=",IF(J26&gt;=F26,"PASS","FAIL"),IF(E26="&lt;=",IF(J26&lt;=G26,"PASS","FAIL"),IF(J26=F26,"PASS","FAIL"))))))))</x:f>
        <x:v>NOT RUN</x:v>
      </x:c>
      <x:c r="L26" s="7" t="str">
        <x:v>Alan</x:v>
      </x:c>
      <x:c r="M26" s="7" t="str"/>
      <x:c r="N26" s="7" t="str">
        <x:v>Maximum across trial steady HOLD margins.</x:v>
      </x:c>
    </x:row>
    <x:row r="27" ht="60" customHeight="1">
      <x:c r="A27" s="7" t="str">
        <x:v>S2</x:v>
      </x:c>
      <x:c r="B27" s="7" t="str">
        <x:v>Pedestrian in corridor; HOLD then removal</x:v>
      </x:c>
      <x:c r="C27" s="7" t="str">
        <x:v>HOLD maximum speed</x:v>
      </x:c>
      <x:c r="D27" s="7" t="str">
        <x:v>m/s</x:v>
      </x:c>
      <x:c r="E27" s="7" t="str">
        <x:v>&lt;=</x:v>
      </x:c>
      <x:c r="F27" s="25"/>
      <x:c r="G27" s="25" t="n">
        <x:v>0.1</x:v>
      </x:c>
      <x:c r="H27" s="27" t="n">
        <x:v>5</x:v>
      </x:c>
      <x:c r="I27" s="28" t="n">
        <x:v>0</x:v>
      </x:c>
      <x:c r="J27" s="26"/>
      <x:c r="K27" s="7" t="str">
        <x:f>IF(E27="N/A","N/A",IF(I27=0,"NOT RUN",IF(I27&lt;H27,"INCOMPLETE",IF(ISBLANK(J27),"NO RESULT",IF(E27="report","REPORTED",IF(E27="&gt;=",IF(J27&gt;=F27,"PASS","FAIL"),IF(E27="&lt;=",IF(J27&lt;=G27,"PASS","FAIL"),IF(J27=F27,"PASS","FAIL"))))))))</x:f>
        <x:v>NOT RUN</x:v>
      </x:c>
      <x:c r="L27" s="7" t="str">
        <x:v>Alan</x:v>
      </x:c>
      <x:c r="M27" s="7" t="str"/>
      <x:c r="N27" s="7" t="str">
        <x:v>Recommended operational definition frozen at G1.</x:v>
      </x:c>
    </x:row>
    <x:row r="28" ht="60" customHeight="1">
      <x:c r="A28" s="7" t="str">
        <x:v>S2</x:v>
      </x:c>
      <x:c r="B28" s="7" t="str">
        <x:v>Pedestrian in corridor; HOLD then removal</x:v>
      </x:c>
      <x:c r="C28" s="7" t="str">
        <x:v>Resume delay (median)</x:v>
      </x:c>
      <x:c r="D28" s="7" t="str">
        <x:v>s</x:v>
      </x:c>
      <x:c r="E28" s="7" t="str">
        <x:v>report</x:v>
      </x:c>
      <x:c r="F28" s="25"/>
      <x:c r="G28" s="25"/>
      <x:c r="H28" s="27" t="n">
        <x:v>5</x:v>
      </x:c>
      <x:c r="I28" s="28" t="n">
        <x:v>0</x:v>
      </x:c>
      <x:c r="J28" s="26"/>
      <x:c r="K28" s="7" t="str">
        <x:f>IF(E28="N/A","N/A",IF(I28=0,"NOT RUN",IF(I28&lt;H28,"INCOMPLETE",IF(ISBLANK(J28),"NO RESULT",IF(E28="report","REPORTED",IF(E28="&gt;=",IF(J28&gt;=F28,"PASS","FAIL"),IF(E28="&lt;=",IF(J28&lt;=G28,"PASS","FAIL"),IF(J28=F28,"PASS","FAIL"))))))))</x:f>
        <x:v>NOT RUN</x:v>
      </x:c>
      <x:c r="L28" s="7" t="str">
        <x:v>Alan</x:v>
      </x:c>
      <x:c r="M28" s="7" t="str"/>
      <x:c r="N28" s="7" t="str">
        <x:v>After scripted removal to motion; no pass threshold in prompt.</x:v>
      </x:c>
    </x:row>
    <x:row r="29" ht="60" customHeight="1">
      <x:c r="A29" s="7" t="str">
        <x:v>S3</x:v>
      </x:c>
      <x:c r="B29" s="7" t="str">
        <x:v>Car outside corridor</x:v>
      </x:c>
      <x:c r="C29" s="7" t="str">
        <x:v>Route completion (minimum per run)</x:v>
      </x:c>
      <x:c r="D29" s="7" t="str">
        <x:v>fraction</x:v>
      </x:c>
      <x:c r="E29" s="7" t="str">
        <x:v>&gt;=</x:v>
      </x:c>
      <x:c r="F29" s="25" t="n">
        <x:v>1</x:v>
      </x:c>
      <x:c r="G29" s="25"/>
      <x:c r="H29" s="27" t="n">
        <x:v>5</x:v>
      </x:c>
      <x:c r="I29" s="28" t="n">
        <x:v>0</x:v>
      </x:c>
      <x:c r="J29" s="26"/>
      <x:c r="K29" s="7" t="str">
        <x:f>IF(E29="N/A","N/A",IF(I29=0,"NOT RUN",IF(I29&lt;H29,"INCOMPLETE",IF(ISBLANK(J29),"NO RESULT",IF(E29="report","REPORTED",IF(E29="&gt;=",IF(J29&gt;=F29,"PASS","FAIL"),IF(E29="&lt;=",IF(J29&lt;=G29,"PASS","FAIL"),IF(J29=F29,"PASS","FAIL"))))))))</x:f>
        <x:v>NOT RUN</x:v>
      </x:c>
      <x:c r="L29" s="7" t="str">
        <x:v>Mohammad</x:v>
      </x:c>
      <x:c r="M29" s="7" t="str"/>
      <x:c r="N29" s="7" t="str">
        <x:v>S4 intentionally cannot finish; do not fail it for incomplete route.</x:v>
      </x:c>
    </x:row>
    <x:row r="30" ht="60" customHeight="1">
      <x:c r="A30" s="7" t="str">
        <x:v>S3</x:v>
      </x:c>
      <x:c r="B30" s="7" t="str">
        <x:v>Car outside corridor</x:v>
      </x:c>
      <x:c r="C30" s="7" t="str">
        <x:v>Collisions (maximum per run)</x:v>
      </x:c>
      <x:c r="D30" s="7" t="str">
        <x:v>count</x:v>
      </x:c>
      <x:c r="E30" s="7" t="str">
        <x:v>=</x:v>
      </x:c>
      <x:c r="F30" s="25" t="n">
        <x:v>0</x:v>
      </x:c>
      <x:c r="G30" s="25" t="n">
        <x:v>0</x:v>
      </x:c>
      <x:c r="H30" s="27" t="n">
        <x:v>5</x:v>
      </x:c>
      <x:c r="I30" s="28" t="n">
        <x:v>0</x:v>
      </x:c>
      <x:c r="J30" s="26"/>
      <x:c r="K30" s="7" t="str">
        <x:f>IF(E30="N/A","N/A",IF(I30=0,"NOT RUN",IF(I30&lt;H30,"INCOMPLETE",IF(ISBLANK(J30),"NO RESULT",IF(E30="report","REPORTED",IF(E30="&gt;=",IF(J30&gt;=F30,"PASS","FAIL"),IF(E30="&lt;=",IF(J30&lt;=G30,"PASS","FAIL"),IF(J30=F30,"PASS","FAIL"))))))))</x:f>
        <x:v>NOT RUN</x:v>
      </x:c>
      <x:c r="L30" s="7" t="str">
        <x:v>Mohammad</x:v>
      </x:c>
      <x:c r="M30" s="7" t="str"/>
      <x:c r="N30" s="7" t="str">
        <x:v>Every trial must have zero; record unique contacts consistently.</x:v>
      </x:c>
    </x:row>
    <x:row r="31" ht="60" customHeight="1">
      <x:c r="A31" s="7" t="str">
        <x:v>S3</x:v>
      </x:c>
      <x:c r="B31" s="7" t="str">
        <x:v>Car outside corridor</x:v>
      </x:c>
      <x:c r="C31" s="7" t="str">
        <x:v>Unplanned lane invasions (max per run)</x:v>
      </x:c>
      <x:c r="D31" s="7" t="str">
        <x:v>count</x:v>
      </x:c>
      <x:c r="E31" s="7" t="str">
        <x:v>=</x:v>
      </x:c>
      <x:c r="F31" s="25" t="n">
        <x:v>0</x:v>
      </x:c>
      <x:c r="G31" s="25" t="n">
        <x:v>0</x:v>
      </x:c>
      <x:c r="H31" s="27" t="n">
        <x:v>5</x:v>
      </x:c>
      <x:c r="I31" s="28" t="n">
        <x:v>0</x:v>
      </x:c>
      <x:c r="J31" s="26"/>
      <x:c r="K31" s="7" t="str">
        <x:f>IF(E31="N/A","N/A",IF(I31=0,"NOT RUN",IF(I31&lt;H31,"INCOMPLETE",IF(ISBLANK(J31),"NO RESULT",IF(E31="report","REPORTED",IF(E31="&gt;=",IF(J31&gt;=F31,"PASS","FAIL"),IF(E31="&lt;=",IF(J31&lt;=G31,"PASS","FAIL"),IF(J31=F31,"PASS","FAIL"))))))))</x:f>
        <x:v>NOT RUN</x:v>
      </x:c>
      <x:c r="L31" s="7" t="str">
        <x:v>Mohammad</x:v>
      </x:c>
      <x:c r="M31" s="7" t="str"/>
      <x:c r="N31" s="7" t="str">
        <x:v>Exclude only mapped, declared legal maneuvers; never blanket-exclude junctions.</x:v>
      </x:c>
    </x:row>
    <x:row r="32" ht="60" customHeight="1">
      <x:c r="A32" s="7" t="str">
        <x:v>S3</x:v>
      </x:c>
      <x:c r="B32" s="7" t="str">
        <x:v>Car outside corridor</x:v>
      </x:c>
      <x:c r="C32" s="7" t="str">
        <x:v>Cross-track mean (worst run)</x:v>
      </x:c>
      <x:c r="D32" s="7" t="str">
        <x:v>m</x:v>
      </x:c>
      <x:c r="E32" s="7" t="str">
        <x:v>&lt;=</x:v>
      </x:c>
      <x:c r="F32" s="25"/>
      <x:c r="G32" s="25" t="n">
        <x:v>0.3</x:v>
      </x:c>
      <x:c r="H32" s="27" t="n">
        <x:v>5</x:v>
      </x:c>
      <x:c r="I32" s="28" t="n">
        <x:v>0</x:v>
      </x:c>
      <x:c r="J32" s="26"/>
      <x:c r="K32" s="7" t="str">
        <x:f>IF(E32="N/A","N/A",IF(I32=0,"NOT RUN",IF(I32&lt;H32,"INCOMPLETE",IF(ISBLANK(J32),"NO RESULT",IF(E32="report","REPORTED",IF(E32="&gt;=",IF(J32&gt;=F32,"PASS","FAIL"),IF(E32="&lt;=",IF(J32&lt;=G32,"PASS","FAIL"),IF(J32=F32,"PASS","FAIL"))))))))</x:f>
        <x:v>NOT RUN</x:v>
      </x:c>
      <x:c r="L32" s="7" t="str">
        <x:v>Mohammad</x:v>
      </x:c>
      <x:c r="M32" s="7" t="str"/>
      <x:c r="N32" s="7" t="str">
        <x:v>Rear-axle distance to continuous reference; signed trace also retained.</x:v>
      </x:c>
    </x:row>
    <x:row r="33" ht="60" customHeight="1">
      <x:c r="A33" s="7" t="str">
        <x:v>S3</x:v>
      </x:c>
      <x:c r="B33" s="7" t="str">
        <x:v>Car outside corridor</x:v>
      </x:c>
      <x:c r="C33" s="7" t="str">
        <x:v>Cruise speed RMS (worst run)</x:v>
      </x:c>
      <x:c r="D33" s="7" t="str">
        <x:v>m/s</x:v>
      </x:c>
      <x:c r="E33" s="7" t="str">
        <x:v>&lt;=</x:v>
      </x:c>
      <x:c r="F33" s="25"/>
      <x:c r="G33" s="25" t="n">
        <x:v>0.5</x:v>
      </x:c>
      <x:c r="H33" s="27" t="n">
        <x:v>5</x:v>
      </x:c>
      <x:c r="I33" s="28" t="n">
        <x:v>0</x:v>
      </x:c>
      <x:c r="J33" s="26"/>
      <x:c r="K33" s="7" t="str">
        <x:f>IF(E33="N/A","N/A",IF(I33=0,"NOT RUN",IF(I33&lt;H33,"INCOMPLETE",IF(ISBLANK(J33),"NO RESULT",IF(E33="report","REPORTED",IF(E33="&gt;=",IF(J33&gt;=F33,"PASS","FAIL"),IF(E33="&lt;=",IF(J33&lt;=G33,"PASS","FAIL"),IF(J33=F33,"PASS","FAIL"))))))))</x:f>
        <x:v>NOT RUN</x:v>
      </x:c>
      <x:c r="L33" s="7" t="str">
        <x:v>Mohammad</x:v>
      </x:c>
      <x:c r="M33" s="7" t="str"/>
      <x:c r="N33" s="7" t="str">
        <x:v>Only stable cruise windows, no approach/HOLD/goal transients; report n ticks.</x:v>
      </x:c>
    </x:row>
    <x:row r="34" ht="60" customHeight="1">
      <x:c r="A34" s="7" t="str">
        <x:v>S3</x:v>
      </x:c>
      <x:c r="B34" s="7" t="str">
        <x:v>Car outside corridor</x:v>
      </x:c>
      <x:c r="C34" s="7" t="str">
        <x:v>Capture-to-apply p95 (worst run)</x:v>
      </x:c>
      <x:c r="D34" s="7" t="str">
        <x:v>ms</x:v>
      </x:c>
      <x:c r="E34" s="7" t="str">
        <x:v>&lt;=</x:v>
      </x:c>
      <x:c r="F34" s="25"/>
      <x:c r="G34" s="25" t="n">
        <x:v>100</x:v>
      </x:c>
      <x:c r="H34" s="27" t="n">
        <x:v>5</x:v>
      </x:c>
      <x:c r="I34" s="28" t="n">
        <x:v>0</x:v>
      </x:c>
      <x:c r="J34" s="26"/>
      <x:c r="K34" s="7" t="str">
        <x:f>IF(E34="N/A","N/A",IF(I34=0,"NOT RUN",IF(I34&lt;H34,"INCOMPLETE",IF(ISBLANK(J34),"NO RESULT",IF(E34="report","REPORTED",IF(E34="&gt;=",IF(J34&gt;=F34,"PASS","FAIL"),IF(E34="&lt;=",IF(J34&lt;=G34,"PASS","FAIL"),IF(J34=F34,"PASS","FAIL"))))))))</x:f>
        <x:v>NOT RUN</x:v>
      </x:c>
      <x:c r="L34" s="7" t="str">
        <x:v>Mohammad</x:v>
      </x:c>
      <x:c r="M34" s="7" t="str"/>
      <x:c r="N34" s="7" t="str">
        <x:v>Local monotonic clock; also report simulation frame age and real-time factor.</x:v>
      </x:c>
    </x:row>
    <x:row r="35" ht="60" customHeight="1">
      <x:c r="A35" s="7" t="str">
        <x:v>S3</x:v>
      </x:c>
      <x:c r="B35" s="7" t="str">
        <x:v>Car outside corridor</x:v>
      </x:c>
      <x:c r="C35" s="7" t="str">
        <x:v>False stops (maximum per run)</x:v>
      </x:c>
      <x:c r="D35" s="7" t="str">
        <x:v>count</x:v>
      </x:c>
      <x:c r="E35" s="7" t="str">
        <x:v>=</x:v>
      </x:c>
      <x:c r="F35" s="25" t="n">
        <x:v>0</x:v>
      </x:c>
      <x:c r="G35" s="25" t="n">
        <x:v>0</x:v>
      </x:c>
      <x:c r="H35" s="27" t="n">
        <x:v>5</x:v>
      </x:c>
      <x:c r="I35" s="28" t="n">
        <x:v>0</x:v>
      </x:c>
      <x:c r="J35" s="26"/>
      <x:c r="K35" s="7" t="str">
        <x:f>IF(E35="N/A","N/A",IF(I35=0,"NOT RUN",IF(I35&lt;H35,"INCOMPLETE",IF(ISBLANK(J35),"NO RESULT",IF(E35="report","REPORTED",IF(E35="&gt;=",IF(J35&gt;=F35,"PASS","FAIL"),IF(E35="&lt;=",IF(J35&lt;=G35,"PASS","FAIL"),IF(J35=F35,"PASS","FAIL"))))))))</x:f>
        <x:v>NOT RUN</x:v>
      </x:c>
      <x:c r="L35" s="7" t="str">
        <x:v>Mohammad</x:v>
      </x:c>
      <x:c r="M35" s="7" t="str"/>
      <x:c r="N35" s="7" t="str">
        <x:v>Unexpected target &lt;0.1 m/s for &gt;=1 s outside goal window; freeze definition at G1.</x:v>
      </x:c>
    </x:row>
    <x:row r="36" ht="60" customHeight="1">
      <x:c r="A36" s="7" t="str">
        <x:v>S3</x:v>
      </x:c>
      <x:c r="B36" s="7" t="str">
        <x:v>Car outside corridor</x:v>
      </x:c>
      <x:c r="C36" s="7" t="str">
        <x:v>Cruise speed drop versus matched S0</x:v>
      </x:c>
      <x:c r="D36" s="7" t="str">
        <x:v>m/s</x:v>
      </x:c>
      <x:c r="E36" s="7" t="str">
        <x:v>&lt;=</x:v>
      </x:c>
      <x:c r="F36" s="25"/>
      <x:c r="G36" s="25" t="n">
        <x:v>0.5</x:v>
      </x:c>
      <x:c r="H36" s="27" t="n">
        <x:v>5</x:v>
      </x:c>
      <x:c r="I36" s="28" t="n">
        <x:v>0</x:v>
      </x:c>
      <x:c r="J36" s="26"/>
      <x:c r="K36" s="7" t="str">
        <x:f>IF(E36="N/A","N/A",IF(I36=0,"NOT RUN",IF(I36&lt;H36,"INCOMPLETE",IF(ISBLANK(J36),"NO RESULT",IF(E36="report","REPORTED",IF(E36="&gt;=",IF(J36&gt;=F36,"PASS","FAIL"),IF(E36="&lt;=",IF(J36&lt;=G36,"PASS","FAIL"),IF(J36=F36,"PASS","FAIL"))))))))</x:f>
        <x:v>NOT RUN</x:v>
      </x:c>
      <x:c r="L36" s="7" t="str">
        <x:v>Mohammad</x:v>
      </x:c>
      <x:c r="M36" s="7" t="str"/>
      <x:c r="N36" s="7" t="str">
        <x:v>Proposed definition of no major slowdown; curve/goal windows excluded.</x:v>
      </x:c>
    </x:row>
    <x:row r="37" ht="60" customHeight="1">
      <x:c r="A37" s="7" t="str">
        <x:v>S4</x:v>
      </x:c>
      <x:c r="B37" s="7" t="str">
        <x:v>Persistent obstacle; 60 s HOLD</x:v>
      </x:c>
      <x:c r="C37" s="7" t="str">
        <x:v>Route completion (minimum per run)</x:v>
      </x:c>
      <x:c r="D37" s="7" t="str">
        <x:v>fraction</x:v>
      </x:c>
      <x:c r="E37" s="7" t="str">
        <x:v>N/A</x:v>
      </x:c>
      <x:c r="F37" s="25" t="n">
        <x:v>1</x:v>
      </x:c>
      <x:c r="G37" s="25"/>
      <x:c r="H37" s="27" t="n">
        <x:v>5</x:v>
      </x:c>
      <x:c r="I37" s="28" t="n">
        <x:v>0</x:v>
      </x:c>
      <x:c r="J37" s="26"/>
      <x:c r="K37" s="7" t="str">
        <x:f>IF(E37="N/A","N/A",IF(I37=0,"NOT RUN",IF(I37&lt;H37,"INCOMPLETE",IF(ISBLANK(J37),"NO RESULT",IF(E37="report","REPORTED",IF(E37="&gt;=",IF(J37&gt;=F37,"PASS","FAIL"),IF(E37="&lt;=",IF(J37&lt;=G37,"PASS","FAIL"),IF(J37=F37,"PASS","FAIL"))))))))</x:f>
        <x:v>N/A</x:v>
      </x:c>
      <x:c r="L37" s="7" t="str">
        <x:v>Mohammad</x:v>
      </x:c>
      <x:c r="M37" s="7" t="str"/>
      <x:c r="N37" s="7" t="str">
        <x:v>S4 intentionally cannot finish; do not fail it for incomplete route.</x:v>
      </x:c>
    </x:row>
    <x:row r="38" ht="60" customHeight="1">
      <x:c r="A38" s="7" t="str">
        <x:v>S4</x:v>
      </x:c>
      <x:c r="B38" s="7" t="str">
        <x:v>Persistent obstacle; 60 s HOLD</x:v>
      </x:c>
      <x:c r="C38" s="7" t="str">
        <x:v>Collisions (maximum per run)</x:v>
      </x:c>
      <x:c r="D38" s="7" t="str">
        <x:v>count</x:v>
      </x:c>
      <x:c r="E38" s="7" t="str">
        <x:v>=</x:v>
      </x:c>
      <x:c r="F38" s="25" t="n">
        <x:v>0</x:v>
      </x:c>
      <x:c r="G38" s="25" t="n">
        <x:v>0</x:v>
      </x:c>
      <x:c r="H38" s="27" t="n">
        <x:v>5</x:v>
      </x:c>
      <x:c r="I38" s="28" t="n">
        <x:v>0</x:v>
      </x:c>
      <x:c r="J38" s="26"/>
      <x:c r="K38" s="7" t="str">
        <x:f>IF(E38="N/A","N/A",IF(I38=0,"NOT RUN",IF(I38&lt;H38,"INCOMPLETE",IF(ISBLANK(J38),"NO RESULT",IF(E38="report","REPORTED",IF(E38="&gt;=",IF(J38&gt;=F38,"PASS","FAIL"),IF(E38="&lt;=",IF(J38&lt;=G38,"PASS","FAIL"),IF(J38=F38,"PASS","FAIL"))))))))</x:f>
        <x:v>NOT RUN</x:v>
      </x:c>
      <x:c r="L38" s="7" t="str">
        <x:v>Mohammad</x:v>
      </x:c>
      <x:c r="M38" s="7" t="str"/>
      <x:c r="N38" s="7" t="str">
        <x:v>Every trial must have zero; record unique contacts consistently.</x:v>
      </x:c>
    </x:row>
    <x:row r="39" ht="60" customHeight="1">
      <x:c r="A39" s="7" t="str">
        <x:v>S4</x:v>
      </x:c>
      <x:c r="B39" s="7" t="str">
        <x:v>Persistent obstacle; 60 s HOLD</x:v>
      </x:c>
      <x:c r="C39" s="7" t="str">
        <x:v>Unplanned lane invasions (max per run)</x:v>
      </x:c>
      <x:c r="D39" s="7" t="str">
        <x:v>count</x:v>
      </x:c>
      <x:c r="E39" s="7" t="str">
        <x:v>=</x:v>
      </x:c>
      <x:c r="F39" s="25" t="n">
        <x:v>0</x:v>
      </x:c>
      <x:c r="G39" s="25" t="n">
        <x:v>0</x:v>
      </x:c>
      <x:c r="H39" s="27" t="n">
        <x:v>5</x:v>
      </x:c>
      <x:c r="I39" s="28" t="n">
        <x:v>0</x:v>
      </x:c>
      <x:c r="J39" s="26"/>
      <x:c r="K39" s="7" t="str">
        <x:f>IF(E39="N/A","N/A",IF(I39=0,"NOT RUN",IF(I39&lt;H39,"INCOMPLETE",IF(ISBLANK(J39),"NO RESULT",IF(E39="report","REPORTED",IF(E39="&gt;=",IF(J39&gt;=F39,"PASS","FAIL"),IF(E39="&lt;=",IF(J39&lt;=G39,"PASS","FAIL"),IF(J39=F39,"PASS","FAIL"))))))))</x:f>
        <x:v>NOT RUN</x:v>
      </x:c>
      <x:c r="L39" s="7" t="str">
        <x:v>Mohammad</x:v>
      </x:c>
      <x:c r="M39" s="7" t="str"/>
      <x:c r="N39" s="7" t="str">
        <x:v>Exclude only mapped, declared legal maneuvers; never blanket-exclude junctions.</x:v>
      </x:c>
    </x:row>
    <x:row r="40" ht="60" customHeight="1">
      <x:c r="A40" s="7" t="str">
        <x:v>S4</x:v>
      </x:c>
      <x:c r="B40" s="7" t="str">
        <x:v>Persistent obstacle; 60 s HOLD</x:v>
      </x:c>
      <x:c r="C40" s="7" t="str">
        <x:v>Cross-track mean (worst run)</x:v>
      </x:c>
      <x:c r="D40" s="7" t="str">
        <x:v>m</x:v>
      </x:c>
      <x:c r="E40" s="7" t="str">
        <x:v>&lt;=</x:v>
      </x:c>
      <x:c r="F40" s="25"/>
      <x:c r="G40" s="25" t="n">
        <x:v>0.3</x:v>
      </x:c>
      <x:c r="H40" s="27" t="n">
        <x:v>5</x:v>
      </x:c>
      <x:c r="I40" s="28" t="n">
        <x:v>0</x:v>
      </x:c>
      <x:c r="J40" s="26"/>
      <x:c r="K40" s="7" t="str">
        <x:f>IF(E40="N/A","N/A",IF(I40=0,"NOT RUN",IF(I40&lt;H40,"INCOMPLETE",IF(ISBLANK(J40),"NO RESULT",IF(E40="report","REPORTED",IF(E40="&gt;=",IF(J40&gt;=F40,"PASS","FAIL"),IF(E40="&lt;=",IF(J40&lt;=G40,"PASS","FAIL"),IF(J40=F40,"PASS","FAIL"))))))))</x:f>
        <x:v>NOT RUN</x:v>
      </x:c>
      <x:c r="L40" s="7" t="str">
        <x:v>Mohammad</x:v>
      </x:c>
      <x:c r="M40" s="7" t="str"/>
      <x:c r="N40" s="7" t="str">
        <x:v>Rear-axle distance to continuous reference; signed trace also retained.</x:v>
      </x:c>
    </x:row>
    <x:row r="41" ht="60" customHeight="1">
      <x:c r="A41" s="7" t="str">
        <x:v>S4</x:v>
      </x:c>
      <x:c r="B41" s="7" t="str">
        <x:v>Persistent obstacle; 60 s HOLD</x:v>
      </x:c>
      <x:c r="C41" s="7" t="str">
        <x:v>Cruise speed RMS (worst run)</x:v>
      </x:c>
      <x:c r="D41" s="7" t="str">
        <x:v>m/s</x:v>
      </x:c>
      <x:c r="E41" s="7" t="str">
        <x:v>&lt;=</x:v>
      </x:c>
      <x:c r="F41" s="25"/>
      <x:c r="G41" s="25" t="n">
        <x:v>0.5</x:v>
      </x:c>
      <x:c r="H41" s="27" t="n">
        <x:v>5</x:v>
      </x:c>
      <x:c r="I41" s="28" t="n">
        <x:v>0</x:v>
      </x:c>
      <x:c r="J41" s="26"/>
      <x:c r="K41" s="7" t="str">
        <x:f>IF(E41="N/A","N/A",IF(I41=0,"NOT RUN",IF(I41&lt;H41,"INCOMPLETE",IF(ISBLANK(J41),"NO RESULT",IF(E41="report","REPORTED",IF(E41="&gt;=",IF(J41&gt;=F41,"PASS","FAIL"),IF(E41="&lt;=",IF(J41&lt;=G41,"PASS","FAIL"),IF(J41=F41,"PASS","FAIL"))))))))</x:f>
        <x:v>NOT RUN</x:v>
      </x:c>
      <x:c r="L41" s="7" t="str">
        <x:v>Mohammad</x:v>
      </x:c>
      <x:c r="M41" s="7" t="str"/>
      <x:c r="N41" s="7" t="str">
        <x:v>Only stable cruise windows, no approach/HOLD/goal transients; report n ticks.</x:v>
      </x:c>
    </x:row>
    <x:row r="42" ht="60" customHeight="1">
      <x:c r="A42" s="7" t="str">
        <x:v>S4</x:v>
      </x:c>
      <x:c r="B42" s="7" t="str">
        <x:v>Persistent obstacle; 60 s HOLD</x:v>
      </x:c>
      <x:c r="C42" s="7" t="str">
        <x:v>Capture-to-apply p95 (worst run)</x:v>
      </x:c>
      <x:c r="D42" s="7" t="str">
        <x:v>ms</x:v>
      </x:c>
      <x:c r="E42" s="7" t="str">
        <x:v>&lt;=</x:v>
      </x:c>
      <x:c r="F42" s="25"/>
      <x:c r="G42" s="25" t="n">
        <x:v>100</x:v>
      </x:c>
      <x:c r="H42" s="27" t="n">
        <x:v>5</x:v>
      </x:c>
      <x:c r="I42" s="28" t="n">
        <x:v>0</x:v>
      </x:c>
      <x:c r="J42" s="26"/>
      <x:c r="K42" s="7" t="str">
        <x:f>IF(E42="N/A","N/A",IF(I42=0,"NOT RUN",IF(I42&lt;H42,"INCOMPLETE",IF(ISBLANK(J42),"NO RESULT",IF(E42="report","REPORTED",IF(E42="&gt;=",IF(J42&gt;=F42,"PASS","FAIL"),IF(E42="&lt;=",IF(J42&lt;=G42,"PASS","FAIL"),IF(J42=F42,"PASS","FAIL"))))))))</x:f>
        <x:v>NOT RUN</x:v>
      </x:c>
      <x:c r="L42" s="7" t="str">
        <x:v>Mohammad</x:v>
      </x:c>
      <x:c r="M42" s="7" t="str"/>
      <x:c r="N42" s="7" t="str">
        <x:v>Local monotonic clock; also report simulation frame age and real-time factor.</x:v>
      </x:c>
    </x:row>
    <x:row r="43" ht="60" customHeight="1">
      <x:c r="A43" s="7" t="str">
        <x:v>S4</x:v>
      </x:c>
      <x:c r="B43" s="7" t="str">
        <x:v>Persistent obstacle; 60 s HOLD</x:v>
      </x:c>
      <x:c r="C43" s="7" t="str">
        <x:v>Minimum stopped bumper margin</x:v>
      </x:c>
      <x:c r="D43" s="7" t="str">
        <x:v>m</x:v>
      </x:c>
      <x:c r="E43" s="7" t="str">
        <x:v>&gt;=</x:v>
      </x:c>
      <x:c r="F43" s="25" t="n">
        <x:v>2.5</x:v>
      </x:c>
      <x:c r="G43" s="25"/>
      <x:c r="H43" s="27" t="n">
        <x:v>5</x:v>
      </x:c>
      <x:c r="I43" s="28" t="n">
        <x:v>0</x:v>
      </x:c>
      <x:c r="J43" s="26"/>
      <x:c r="K43" s="7" t="str">
        <x:f>IF(E43="N/A","N/A",IF(I43=0,"NOT RUN",IF(I43&lt;H43,"INCOMPLETE",IF(ISBLANK(J43),"NO RESULT",IF(E43="report","REPORTED",IF(E43="&gt;=",IF(J43&gt;=F43,"PASS","FAIL"),IF(E43="&lt;=",IF(J43&lt;=G43,"PASS","FAIL"),IF(J43=F43,"PASS","FAIL"))))))))</x:f>
        <x:v>NOT RUN</x:v>
      </x:c>
      <x:c r="L43" s="7" t="str">
        <x:v>Mohammad</x:v>
      </x:c>
      <x:c r="M43" s="7" t="str"/>
      <x:c r="N43" s="7" t="str">
        <x:v>Ground-truth surface gap after speed &lt;=0.1 m/s; minimum across trials.</x:v>
      </x:c>
    </x:row>
    <x:row r="44" ht="60" customHeight="1">
      <x:c r="A44" s="7" t="str">
        <x:v>S4</x:v>
      </x:c>
      <x:c r="B44" s="7" t="str">
        <x:v>Persistent obstacle; 60 s HOLD</x:v>
      </x:c>
      <x:c r="C44" s="7" t="str">
        <x:v>Maximum stopped bumper margin</x:v>
      </x:c>
      <x:c r="D44" s="7" t="str">
        <x:v>m</x:v>
      </x:c>
      <x:c r="E44" s="7" t="str">
        <x:v>&lt;=</x:v>
      </x:c>
      <x:c r="F44" s="25"/>
      <x:c r="G44" s="25" t="n">
        <x:v>6</x:v>
      </x:c>
      <x:c r="H44" s="27" t="n">
        <x:v>5</x:v>
      </x:c>
      <x:c r="I44" s="28" t="n">
        <x:v>0</x:v>
      </x:c>
      <x:c r="J44" s="26"/>
      <x:c r="K44" s="7" t="str">
        <x:f>IF(E44="N/A","N/A",IF(I44=0,"NOT RUN",IF(I44&lt;H44,"INCOMPLETE",IF(ISBLANK(J44),"NO RESULT",IF(E44="report","REPORTED",IF(E44="&gt;=",IF(J44&gt;=F44,"PASS","FAIL"),IF(E44="&lt;=",IF(J44&lt;=G44,"PASS","FAIL"),IF(J44=F44,"PASS","FAIL"))))))))</x:f>
        <x:v>NOT RUN</x:v>
      </x:c>
      <x:c r="L44" s="7" t="str">
        <x:v>Mohammad</x:v>
      </x:c>
      <x:c r="M44" s="7" t="str"/>
      <x:c r="N44" s="7" t="str">
        <x:v>Maximum across trial steady HOLD margins.</x:v>
      </x:c>
    </x:row>
    <x:row r="45" ht="60" customHeight="1">
      <x:c r="A45" s="7" t="str">
        <x:v>S4</x:v>
      </x:c>
      <x:c r="B45" s="7" t="str">
        <x:v>Persistent obstacle; 60 s HOLD</x:v>
      </x:c>
      <x:c r="C45" s="7" t="str">
        <x:v>HOLD maximum speed</x:v>
      </x:c>
      <x:c r="D45" s="7" t="str">
        <x:v>m/s</x:v>
      </x:c>
      <x:c r="E45" s="7" t="str">
        <x:v>&lt;=</x:v>
      </x:c>
      <x:c r="F45" s="25"/>
      <x:c r="G45" s="25" t="n">
        <x:v>0.1</x:v>
      </x:c>
      <x:c r="H45" s="27" t="n">
        <x:v>5</x:v>
      </x:c>
      <x:c r="I45" s="28" t="n">
        <x:v>0</x:v>
      </x:c>
      <x:c r="J45" s="26"/>
      <x:c r="K45" s="7" t="str">
        <x:f>IF(E45="N/A","N/A",IF(I45=0,"NOT RUN",IF(I45&lt;H45,"INCOMPLETE",IF(ISBLANK(J45),"NO RESULT",IF(E45="report","REPORTED",IF(E45="&gt;=",IF(J45&gt;=F45,"PASS","FAIL"),IF(E45="&lt;=",IF(J45&lt;=G45,"PASS","FAIL"),IF(J45=F45,"PASS","FAIL"))))))))</x:f>
        <x:v>NOT RUN</x:v>
      </x:c>
      <x:c r="L45" s="7" t="str">
        <x:v>Mohammad</x:v>
      </x:c>
      <x:c r="M45" s="7" t="str"/>
      <x:c r="N45" s="7" t="str">
        <x:v>Recommended operational definition frozen at G1.</x:v>
      </x:c>
    </x:row>
    <x:row r="46" ht="60" customHeight="1">
      <x:c r="A46" s="7" t="str">
        <x:v>S4</x:v>
      </x:c>
      <x:c r="B46" s="7" t="str">
        <x:v>Persistent obstacle; 60 s HOLD</x:v>
      </x:c>
      <x:c r="C46" s="7" t="str">
        <x:v>Continuous HOLD duration (minimum)</x:v>
      </x:c>
      <x:c r="D46" s="7" t="str">
        <x:v>s</x:v>
      </x:c>
      <x:c r="E46" s="7" t="str">
        <x:v>&gt;=</x:v>
      </x:c>
      <x:c r="F46" s="25" t="n">
        <x:v>60</x:v>
      </x:c>
      <x:c r="G46" s="25"/>
      <x:c r="H46" s="27" t="n">
        <x:v>5</x:v>
      </x:c>
      <x:c r="I46" s="28" t="n">
        <x:v>0</x:v>
      </x:c>
      <x:c r="J46" s="26"/>
      <x:c r="K46" s="7" t="str">
        <x:f>IF(E46="N/A","N/A",IF(I46=0,"NOT RUN",IF(I46&lt;H46,"INCOMPLETE",IF(ISBLANK(J46),"NO RESULT",IF(E46="report","REPORTED",IF(E46="&gt;=",IF(J46&gt;=F46,"PASS","FAIL"),IF(E46="&lt;=",IF(J46&lt;=G46,"PASS","FAIL"),IF(J46=F46,"PASS","FAIL"))))))))</x:f>
        <x:v>NOT RUN</x:v>
      </x:c>
      <x:c r="L46" s="7" t="str">
        <x:v>Mohammad</x:v>
      </x:c>
      <x:c r="M46" s="7" t="str"/>
      <x:c r="N46" s="7" t="str">
        <x:v>Provisional scenario duration; no resume while obstacle remains.</x:v>
      </x:c>
    </x:row>
    <x:row r="47" ht="60" customHeight="1">
      <x:c r="A47" s="7" t="str">
        <x:v>S5</x:v>
      </x:c>
      <x:c r="B47" s="7" t="str">
        <x:v>Obstacle after bend; HOLD then removal</x:v>
      </x:c>
      <x:c r="C47" s="7" t="str">
        <x:v>Route completion (minimum per run)</x:v>
      </x:c>
      <x:c r="D47" s="7" t="str">
        <x:v>fraction</x:v>
      </x:c>
      <x:c r="E47" s="7" t="str">
        <x:v>&gt;=</x:v>
      </x:c>
      <x:c r="F47" s="25" t="n">
        <x:v>1</x:v>
      </x:c>
      <x:c r="G47" s="25"/>
      <x:c r="H47" s="27" t="n">
        <x:v>5</x:v>
      </x:c>
      <x:c r="I47" s="28" t="n">
        <x:v>0</x:v>
      </x:c>
      <x:c r="J47" s="26"/>
      <x:c r="K47" s="7" t="str">
        <x:f>IF(E47="N/A","N/A",IF(I47=0,"NOT RUN",IF(I47&lt;H47,"INCOMPLETE",IF(ISBLANK(J47),"NO RESULT",IF(E47="report","REPORTED",IF(E47="&gt;=",IF(J47&gt;=F47,"PASS","FAIL"),IF(E47="&lt;=",IF(J47&lt;=G47,"PASS","FAIL"),IF(J47=F47,"PASS","FAIL"))))))))</x:f>
        <x:v>NOT RUN</x:v>
      </x:c>
      <x:c r="L47" s="7" t="str">
        <x:v>Abdullah</x:v>
      </x:c>
      <x:c r="M47" s="7" t="str"/>
      <x:c r="N47" s="7" t="str">
        <x:v>S4 intentionally cannot finish; do not fail it for incomplete route.</x:v>
      </x:c>
    </x:row>
    <x:row r="48" ht="60" customHeight="1">
      <x:c r="A48" s="7" t="str">
        <x:v>S5</x:v>
      </x:c>
      <x:c r="B48" s="7" t="str">
        <x:v>Obstacle after bend; HOLD then removal</x:v>
      </x:c>
      <x:c r="C48" s="7" t="str">
        <x:v>Collisions (maximum per run)</x:v>
      </x:c>
      <x:c r="D48" s="7" t="str">
        <x:v>count</x:v>
      </x:c>
      <x:c r="E48" s="7" t="str">
        <x:v>=</x:v>
      </x:c>
      <x:c r="F48" s="25" t="n">
        <x:v>0</x:v>
      </x:c>
      <x:c r="G48" s="25" t="n">
        <x:v>0</x:v>
      </x:c>
      <x:c r="H48" s="27" t="n">
        <x:v>5</x:v>
      </x:c>
      <x:c r="I48" s="28" t="n">
        <x:v>0</x:v>
      </x:c>
      <x:c r="J48" s="26"/>
      <x:c r="K48" s="7" t="str">
        <x:f>IF(E48="N/A","N/A",IF(I48=0,"NOT RUN",IF(I48&lt;H48,"INCOMPLETE",IF(ISBLANK(J48),"NO RESULT",IF(E48="report","REPORTED",IF(E48="&gt;=",IF(J48&gt;=F48,"PASS","FAIL"),IF(E48="&lt;=",IF(J48&lt;=G48,"PASS","FAIL"),IF(J48=F48,"PASS","FAIL"))))))))</x:f>
        <x:v>NOT RUN</x:v>
      </x:c>
      <x:c r="L48" s="7" t="str">
        <x:v>Abdullah</x:v>
      </x:c>
      <x:c r="M48" s="7" t="str"/>
      <x:c r="N48" s="7" t="str">
        <x:v>Every trial must have zero; record unique contacts consistently.</x:v>
      </x:c>
    </x:row>
    <x:row r="49" ht="60" customHeight="1">
      <x:c r="A49" s="7" t="str">
        <x:v>S5</x:v>
      </x:c>
      <x:c r="B49" s="7" t="str">
        <x:v>Obstacle after bend; HOLD then removal</x:v>
      </x:c>
      <x:c r="C49" s="7" t="str">
        <x:v>Unplanned lane invasions (max per run)</x:v>
      </x:c>
      <x:c r="D49" s="7" t="str">
        <x:v>count</x:v>
      </x:c>
      <x:c r="E49" s="7" t="str">
        <x:v>=</x:v>
      </x:c>
      <x:c r="F49" s="25" t="n">
        <x:v>0</x:v>
      </x:c>
      <x:c r="G49" s="25" t="n">
        <x:v>0</x:v>
      </x:c>
      <x:c r="H49" s="27" t="n">
        <x:v>5</x:v>
      </x:c>
      <x:c r="I49" s="28" t="n">
        <x:v>0</x:v>
      </x:c>
      <x:c r="J49" s="26"/>
      <x:c r="K49" s="7" t="str">
        <x:f>IF(E49="N/A","N/A",IF(I49=0,"NOT RUN",IF(I49&lt;H49,"INCOMPLETE",IF(ISBLANK(J49),"NO RESULT",IF(E49="report","REPORTED",IF(E49="&gt;=",IF(J49&gt;=F49,"PASS","FAIL"),IF(E49="&lt;=",IF(J49&lt;=G49,"PASS","FAIL"),IF(J49=F49,"PASS","FAIL"))))))))</x:f>
        <x:v>NOT RUN</x:v>
      </x:c>
      <x:c r="L49" s="7" t="str">
        <x:v>Abdullah</x:v>
      </x:c>
      <x:c r="M49" s="7" t="str"/>
      <x:c r="N49" s="7" t="str">
        <x:v>Exclude only mapped, declared legal maneuvers; never blanket-exclude junctions.</x:v>
      </x:c>
    </x:row>
    <x:row r="50" ht="60" customHeight="1">
      <x:c r="A50" s="7" t="str">
        <x:v>S5</x:v>
      </x:c>
      <x:c r="B50" s="7" t="str">
        <x:v>Obstacle after bend; HOLD then removal</x:v>
      </x:c>
      <x:c r="C50" s="7" t="str">
        <x:v>Cross-track mean (worst run)</x:v>
      </x:c>
      <x:c r="D50" s="7" t="str">
        <x:v>m</x:v>
      </x:c>
      <x:c r="E50" s="7" t="str">
        <x:v>&lt;=</x:v>
      </x:c>
      <x:c r="F50" s="25"/>
      <x:c r="G50" s="25" t="n">
        <x:v>0.3</x:v>
      </x:c>
      <x:c r="H50" s="27" t="n">
        <x:v>5</x:v>
      </x:c>
      <x:c r="I50" s="28" t="n">
        <x:v>0</x:v>
      </x:c>
      <x:c r="J50" s="26"/>
      <x:c r="K50" s="7" t="str">
        <x:f>IF(E50="N/A","N/A",IF(I50=0,"NOT RUN",IF(I50&lt;H50,"INCOMPLETE",IF(ISBLANK(J50),"NO RESULT",IF(E50="report","REPORTED",IF(E50="&gt;=",IF(J50&gt;=F50,"PASS","FAIL"),IF(E50="&lt;=",IF(J50&lt;=G50,"PASS","FAIL"),IF(J50=F50,"PASS","FAIL"))))))))</x:f>
        <x:v>NOT RUN</x:v>
      </x:c>
      <x:c r="L50" s="7" t="str">
        <x:v>Abdullah</x:v>
      </x:c>
      <x:c r="M50" s="7" t="str"/>
      <x:c r="N50" s="7" t="str">
        <x:v>Rear-axle distance to continuous reference; signed trace also retained.</x:v>
      </x:c>
    </x:row>
    <x:row r="51" ht="60" customHeight="1">
      <x:c r="A51" s="7" t="str">
        <x:v>S5</x:v>
      </x:c>
      <x:c r="B51" s="7" t="str">
        <x:v>Obstacle after bend; HOLD then removal</x:v>
      </x:c>
      <x:c r="C51" s="7" t="str">
        <x:v>Cruise speed RMS (worst run)</x:v>
      </x:c>
      <x:c r="D51" s="7" t="str">
        <x:v>m/s</x:v>
      </x:c>
      <x:c r="E51" s="7" t="str">
        <x:v>&lt;=</x:v>
      </x:c>
      <x:c r="F51" s="25"/>
      <x:c r="G51" s="25" t="n">
        <x:v>0.5</x:v>
      </x:c>
      <x:c r="H51" s="27" t="n">
        <x:v>5</x:v>
      </x:c>
      <x:c r="I51" s="28" t="n">
        <x:v>0</x:v>
      </x:c>
      <x:c r="J51" s="26"/>
      <x:c r="K51" s="7" t="str">
        <x:f>IF(E51="N/A","N/A",IF(I51=0,"NOT RUN",IF(I51&lt;H51,"INCOMPLETE",IF(ISBLANK(J51),"NO RESULT",IF(E51="report","REPORTED",IF(E51="&gt;=",IF(J51&gt;=F51,"PASS","FAIL"),IF(E51="&lt;=",IF(J51&lt;=G51,"PASS","FAIL"),IF(J51=F51,"PASS","FAIL"))))))))</x:f>
        <x:v>NOT RUN</x:v>
      </x:c>
      <x:c r="L51" s="7" t="str">
        <x:v>Abdullah</x:v>
      </x:c>
      <x:c r="M51" s="7" t="str"/>
      <x:c r="N51" s="7" t="str">
        <x:v>Only stable cruise windows, no approach/HOLD/goal transients; report n ticks.</x:v>
      </x:c>
    </x:row>
    <x:row r="52" ht="60" customHeight="1">
      <x:c r="A52" s="7" t="str">
        <x:v>S5</x:v>
      </x:c>
      <x:c r="B52" s="7" t="str">
        <x:v>Obstacle after bend; HOLD then removal</x:v>
      </x:c>
      <x:c r="C52" s="7" t="str">
        <x:v>Capture-to-apply p95 (worst run)</x:v>
      </x:c>
      <x:c r="D52" s="7" t="str">
        <x:v>ms</x:v>
      </x:c>
      <x:c r="E52" s="7" t="str">
        <x:v>&lt;=</x:v>
      </x:c>
      <x:c r="F52" s="25"/>
      <x:c r="G52" s="25" t="n">
        <x:v>100</x:v>
      </x:c>
      <x:c r="H52" s="27" t="n">
        <x:v>5</x:v>
      </x:c>
      <x:c r="I52" s="28" t="n">
        <x:v>0</x:v>
      </x:c>
      <x:c r="J52" s="26"/>
      <x:c r="K52" s="7" t="str">
        <x:f>IF(E52="N/A","N/A",IF(I52=0,"NOT RUN",IF(I52&lt;H52,"INCOMPLETE",IF(ISBLANK(J52),"NO RESULT",IF(E52="report","REPORTED",IF(E52="&gt;=",IF(J52&gt;=F52,"PASS","FAIL"),IF(E52="&lt;=",IF(J52&lt;=G52,"PASS","FAIL"),IF(J52=F52,"PASS","FAIL"))))))))</x:f>
        <x:v>NOT RUN</x:v>
      </x:c>
      <x:c r="L52" s="7" t="str">
        <x:v>Abdullah</x:v>
      </x:c>
      <x:c r="M52" s="7" t="str"/>
      <x:c r="N52" s="7" t="str">
        <x:v>Local monotonic clock; also report simulation frame age and real-time factor.</x:v>
      </x:c>
    </x:row>
    <x:row r="53" ht="60" customHeight="1">
      <x:c r="A53" s="7" t="str">
        <x:v>S5</x:v>
      </x:c>
      <x:c r="B53" s="7" t="str">
        <x:v>Obstacle after bend; HOLD then removal</x:v>
      </x:c>
      <x:c r="C53" s="7" t="str">
        <x:v>Minimum stopped bumper margin</x:v>
      </x:c>
      <x:c r="D53" s="7" t="str">
        <x:v>m</x:v>
      </x:c>
      <x:c r="E53" s="7" t="str">
        <x:v>&gt;=</x:v>
      </x:c>
      <x:c r="F53" s="25" t="n">
        <x:v>2.5</x:v>
      </x:c>
      <x:c r="G53" s="25"/>
      <x:c r="H53" s="27" t="n">
        <x:v>5</x:v>
      </x:c>
      <x:c r="I53" s="28" t="n">
        <x:v>0</x:v>
      </x:c>
      <x:c r="J53" s="26"/>
      <x:c r="K53" s="7" t="str">
        <x:f>IF(E53="N/A","N/A",IF(I53=0,"NOT RUN",IF(I53&lt;H53,"INCOMPLETE",IF(ISBLANK(J53),"NO RESULT",IF(E53="report","REPORTED",IF(E53="&gt;=",IF(J53&gt;=F53,"PASS","FAIL"),IF(E53="&lt;=",IF(J53&lt;=G53,"PASS","FAIL"),IF(J53=F53,"PASS","FAIL"))))))))</x:f>
        <x:v>NOT RUN</x:v>
      </x:c>
      <x:c r="L53" s="7" t="str">
        <x:v>Abdullah</x:v>
      </x:c>
      <x:c r="M53" s="7" t="str"/>
      <x:c r="N53" s="7" t="str">
        <x:v>Ground-truth surface gap after speed &lt;=0.1 m/s; minimum across trials.</x:v>
      </x:c>
    </x:row>
    <x:row r="54" ht="60" customHeight="1">
      <x:c r="A54" s="7" t="str">
        <x:v>S5</x:v>
      </x:c>
      <x:c r="B54" s="7" t="str">
        <x:v>Obstacle after bend; HOLD then removal</x:v>
      </x:c>
      <x:c r="C54" s="7" t="str">
        <x:v>Maximum stopped bumper margin</x:v>
      </x:c>
      <x:c r="D54" s="7" t="str">
        <x:v>m</x:v>
      </x:c>
      <x:c r="E54" s="7" t="str">
        <x:v>&lt;=</x:v>
      </x:c>
      <x:c r="F54" s="25"/>
      <x:c r="G54" s="25" t="n">
        <x:v>6</x:v>
      </x:c>
      <x:c r="H54" s="27" t="n">
        <x:v>5</x:v>
      </x:c>
      <x:c r="I54" s="28" t="n">
        <x:v>0</x:v>
      </x:c>
      <x:c r="J54" s="26"/>
      <x:c r="K54" s="7" t="str">
        <x:f>IF(E54="N/A","N/A",IF(I54=0,"NOT RUN",IF(I54&lt;H54,"INCOMPLETE",IF(ISBLANK(J54),"NO RESULT",IF(E54="report","REPORTED",IF(E54="&gt;=",IF(J54&gt;=F54,"PASS","FAIL"),IF(E54="&lt;=",IF(J54&lt;=G54,"PASS","FAIL"),IF(J54=F54,"PASS","FAIL"))))))))</x:f>
        <x:v>NOT RUN</x:v>
      </x:c>
      <x:c r="L54" s="7" t="str">
        <x:v>Abdullah</x:v>
      </x:c>
      <x:c r="M54" s="7" t="str"/>
      <x:c r="N54" s="7" t="str">
        <x:v>Maximum across trial steady HOLD margins.</x:v>
      </x:c>
    </x:row>
    <x:row r="55" ht="60" customHeight="1">
      <x:c r="A55" s="7" t="str">
        <x:v>S5</x:v>
      </x:c>
      <x:c r="B55" s="7" t="str">
        <x:v>Obstacle after bend; HOLD then removal</x:v>
      </x:c>
      <x:c r="C55" s="7" t="str">
        <x:v>HOLD maximum speed</x:v>
      </x:c>
      <x:c r="D55" s="7" t="str">
        <x:v>m/s</x:v>
      </x:c>
      <x:c r="E55" s="7" t="str">
        <x:v>&lt;=</x:v>
      </x:c>
      <x:c r="F55" s="25"/>
      <x:c r="G55" s="25" t="n">
        <x:v>0.1</x:v>
      </x:c>
      <x:c r="H55" s="27" t="n">
        <x:v>5</x:v>
      </x:c>
      <x:c r="I55" s="28" t="n">
        <x:v>0</x:v>
      </x:c>
      <x:c r="J55" s="26"/>
      <x:c r="K55" s="7" t="str">
        <x:f>IF(E55="N/A","N/A",IF(I55=0,"NOT RUN",IF(I55&lt;H55,"INCOMPLETE",IF(ISBLANK(J55),"NO RESULT",IF(E55="report","REPORTED",IF(E55="&gt;=",IF(J55&gt;=F55,"PASS","FAIL"),IF(E55="&lt;=",IF(J55&lt;=G55,"PASS","FAIL"),IF(J55=F55,"PASS","FAIL"))))))))</x:f>
        <x:v>NOT RUN</x:v>
      </x:c>
      <x:c r="L55" s="7" t="str">
        <x:v>Abdullah</x:v>
      </x:c>
      <x:c r="M55" s="7" t="str"/>
      <x:c r="N55" s="7" t="str">
        <x:v>Recommended operational definition frozen at G1.</x:v>
      </x:c>
    </x:row>
    <x:row r="56" ht="60" customHeight="1">
      <x:c r="A56" s="7" t="str">
        <x:v>S5</x:v>
      </x:c>
      <x:c r="B56" s="7" t="str">
        <x:v>Obstacle after bend; HOLD then removal</x:v>
      </x:c>
      <x:c r="C56" s="7" t="str">
        <x:v>Resume delay (median)</x:v>
      </x:c>
      <x:c r="D56" s="7" t="str">
        <x:v>s</x:v>
      </x:c>
      <x:c r="E56" s="7" t="str">
        <x:v>report</x:v>
      </x:c>
      <x:c r="F56" s="25"/>
      <x:c r="G56" s="25"/>
      <x:c r="H56" s="27" t="n">
        <x:v>5</x:v>
      </x:c>
      <x:c r="I56" s="28" t="n">
        <x:v>0</x:v>
      </x:c>
      <x:c r="J56" s="26"/>
      <x:c r="K56" s="7" t="str">
        <x:f>IF(E56="N/A","N/A",IF(I56=0,"NOT RUN",IF(I56&lt;H56,"INCOMPLETE",IF(ISBLANK(J56),"NO RESULT",IF(E56="report","REPORTED",IF(E56="&gt;=",IF(J56&gt;=F56,"PASS","FAIL"),IF(E56="&lt;=",IF(J56&lt;=G56,"PASS","FAIL"),IF(J56=F56,"PASS","FAIL"))))))))</x:f>
        <x:v>NOT RUN</x:v>
      </x:c>
      <x:c r="L56" s="7" t="str">
        <x:v>Abdullah</x:v>
      </x:c>
      <x:c r="M56" s="7" t="str"/>
      <x:c r="N56" s="7" t="str">
        <x:v>After scripted removal to motion; no pass threshold in prompt.</x:v>
      </x:c>
    </x:row>
    <x:row r="57" ht="60" customHeight="1">
      <x:c r="A57" s="7" t="str">
        <x:v>DEPTH</x:v>
      </x:c>
      <x:c r="B57" s="7" t="str">
        <x:v>Held-out 5-25 m bins</x:v>
      </x:c>
      <x:c r="C57" s="7" t="str">
        <x:v>Median absolute surface-depth error</x:v>
      </x:c>
      <x:c r="D57" s="7" t="str">
        <x:v>m</x:v>
      </x:c>
      <x:c r="E57" s="7" t="str">
        <x:v>&lt;=</x:v>
      </x:c>
      <x:c r="F57" s="25"/>
      <x:c r="G57" s="25" t="n">
        <x:v>0.5</x:v>
      </x:c>
      <x:c r="H57" s="27" t="n">
        <x:v>3</x:v>
      </x:c>
      <x:c r="I57" s="28" t="n">
        <x:v>0</x:v>
      </x:c>
      <x:c r="J57" s="26"/>
      <x:c r="K57" s="7" t="str">
        <x:f>IF(E57="N/A","N/A",IF(I57=0,"NOT RUN",IF(I57&lt;H57,"INCOMPLETE",IF(ISBLANK(J57),"NO RESULT",IF(E57="report","REPORTED",IF(E57="&gt;=",IF(J57&gt;=F57,"PASS","FAIL"),IF(E57="&lt;=",IF(J57&lt;=G57,"PASS","FAIL"),IF(J57=F57,"PASS","FAIL"))))))))</x:f>
        <x:v>NOT RUN</x:v>
      </x:c>
      <x:c r="L57" s="7" t="str">
        <x:v>Mohammad</x:v>
      </x:c>
      <x:c r="M57" s="7" t="str"/>
      <x:c r="N57" s="7" t="str">
        <x:v>Three range bins; include off-axis points; attach observation counts per bin.</x:v>
      </x:c>
    </x:row>
    <x:row r="58" ht="60" customHeight="1">
      <x:c r="A58" s="7" t="str">
        <x:v>DETECT</x:v>
      </x:c>
      <x:c r="B58" s="7" t="str">
        <x:v>Car/person approaching sequences</x:v>
      </x:c>
      <x:c r="C58" s="7" t="str">
        <x:v>First confirmed range (minimum)</x:v>
      </x:c>
      <x:c r="D58" s="7" t="str">
        <x:v>m</x:v>
      </x:c>
      <x:c r="E58" s="7" t="str">
        <x:v>&gt;=</x:v>
      </x:c>
      <x:c r="F58" s="25" t="n">
        <x:v>25</x:v>
      </x:c>
      <x:c r="G58" s="25"/>
      <x:c r="H58" s="27" t="n">
        <x:v>5</x:v>
      </x:c>
      <x:c r="I58" s="28" t="n">
        <x:v>0</x:v>
      </x:c>
      <x:c r="J58" s="26"/>
      <x:c r="K58" s="7" t="str">
        <x:f>IF(E58="N/A","N/A",IF(I58=0,"NOT RUN",IF(I58&lt;H58,"INCOMPLETE",IF(ISBLANK(J58),"NO RESULT",IF(E58="report","REPORTED",IF(E58="&gt;=",IF(J58&gt;=F58,"PASS","FAIL"),IF(E58="&lt;=",IF(J58&lt;=G58,"PASS","FAIL"),IF(J58=F58,"PASS","FAIL"))))))))</x:f>
        <x:v>NOT RUN</x:v>
      </x:c>
      <x:c r="L58" s="7" t="str">
        <x:v>Ricky</x:v>
      </x:c>
      <x:c r="M58" s="7" t="str"/>
      <x:c r="N58" s="7" t="str">
        <x:v>Provisional design target; if missed, lower speed with approved G1 change.</x:v>
      </x:c>
    </x:row>
    <x:row r="59" ht="60" customHeight="1">
      <x:c r="A59" s="7" t="str">
        <x:v>E1-S0</x:v>
      </x:c>
      <x:c r="B59" s="7" t="str">
        <x:v>Three weather conditions x three trials</x:v>
      </x:c>
      <x:c r="C59" s="7" t="str">
        <x:v>Completed scenario trials</x:v>
      </x:c>
      <x:c r="D59" s="7" t="str">
        <x:v>count</x:v>
      </x:c>
      <x:c r="E59" s="7" t="str">
        <x:v>&gt;=</x:v>
      </x:c>
      <x:c r="F59" s="25" t="n">
        <x:v>9</x:v>
      </x:c>
      <x:c r="G59" s="25"/>
      <x:c r="H59" s="27" t="n">
        <x:v>9</x:v>
      </x:c>
      <x:c r="I59" s="28" t="n">
        <x:v>0</x:v>
      </x:c>
      <x:c r="J59" s="26"/>
      <x:c r="K59" s="7" t="str">
        <x:f>IF(E59="N/A","N/A",IF(I59=0,"NOT RUN",IF(I59&lt;H59,"INCOMPLETE",IF(ISBLANK(J59),"NO RESULT",IF(E59="report","REPORTED",IF(E59="&gt;=",IF(J59&gt;=F59,"PASS","FAIL"),IF(E59="&lt;=",IF(J59&lt;=G59,"PASS","FAIL"),IF(J59=F59,"PASS","FAIL"))))))))</x:f>
        <x:v>NOT RUN</x:v>
      </x:c>
      <x:c r="L59" s="7" t="str">
        <x:v>Alan</x:v>
      </x:c>
      <x:c r="M59" s="7" t="str"/>
      <x:c r="N59" s="7" t="str">
        <x:v>Each trial also evaluated against applicable baseline metrics; retain per-condition table.</x:v>
      </x:c>
    </x:row>
    <x:row r="60" ht="60" customHeight="1">
      <x:c r="A60" s="7" t="str">
        <x:v>E1-S0</x:v>
      </x:c>
      <x:c r="B60" s="7" t="str">
        <x:v>Three weather conditions x three trials</x:v>
      </x:c>
      <x:c r="C60" s="7" t="str">
        <x:v>Collisions (maximum per run)</x:v>
      </x:c>
      <x:c r="D60" s="7" t="str">
        <x:v>count</x:v>
      </x:c>
      <x:c r="E60" s="7" t="str">
        <x:v>=</x:v>
      </x:c>
      <x:c r="F60" s="25" t="n">
        <x:v>0</x:v>
      </x:c>
      <x:c r="G60" s="25" t="n">
        <x:v>0</x:v>
      </x:c>
      <x:c r="H60" s="27" t="n">
        <x:v>9</x:v>
      </x:c>
      <x:c r="I60" s="28" t="n">
        <x:v>0</x:v>
      </x:c>
      <x:c r="J60" s="26"/>
      <x:c r="K60" s="7" t="str">
        <x:f>IF(E60="N/A","N/A",IF(I60=0,"NOT RUN",IF(I60&lt;H60,"INCOMPLETE",IF(ISBLANK(J60),"NO RESULT",IF(E60="report","REPORTED",IF(E60="&gt;=",IF(J60&gt;=F60,"PASS","FAIL"),IF(E60="&lt;=",IF(J60&lt;=G60,"PASS","FAIL"),IF(J60=F60,"PASS","FAIL"))))))))</x:f>
        <x:v>NOT RUN</x:v>
      </x:c>
      <x:c r="L60" s="7" t="str">
        <x:v>Alan</x:v>
      </x:c>
      <x:c r="M60" s="7" t="str"/>
      <x:c r="N60" s="7" t="str">
        <x:v>All presets do not pass just because matrix is complete.</x:v>
      </x:c>
    </x:row>
    <x:row r="61" ht="60" customHeight="1">
      <x:c r="A61" s="7" t="str">
        <x:v>E1-S0</x:v>
      </x:c>
      <x:c r="B61" s="7" t="str">
        <x:v>Three weather conditions x three trials</x:v>
      </x:c>
      <x:c r="C61" s="7" t="str">
        <x:v>Recall against projected visible ground truth</x:v>
      </x:c>
      <x:c r="D61" s="7" t="str">
        <x:v>fraction</x:v>
      </x:c>
      <x:c r="E61" s="7" t="str">
        <x:v>report</x:v>
      </x:c>
      <x:c r="F61" s="25"/>
      <x:c r="G61" s="25"/>
      <x:c r="H61" s="27" t="n">
        <x:v>9</x:v>
      </x:c>
      <x:c r="I61" s="28" t="n">
        <x:v>0</x:v>
      </x:c>
      <x:c r="J61" s="26"/>
      <x:c r="K61" s="7" t="str">
        <x:f>IF(E61="N/A","N/A",IF(I61=0,"NOT RUN",IF(I61&lt;H61,"INCOMPLETE",IF(ISBLANK(J61),"NO RESULT",IF(E61="report","REPORTED",IF(E61="&gt;=",IF(J61&gt;=F61,"PASS","FAIL"),IF(E61="&lt;=",IF(J61&lt;=G61,"PASS","FAIL"),IF(J61=F61,"PASS","FAIL"))))))))</x:f>
        <x:v>NOT RUN</x:v>
      </x:c>
      <x:c r="L61" s="7" t="str">
        <x:v>Ricky</x:v>
      </x:c>
      <x:c r="M61" s="7" t="str"/>
      <x:c r="N61" s="7" t="str">
        <x:v>Report per class/condition with matching policy, sample counts and occlusion rules.</x:v>
      </x:c>
    </x:row>
    <x:row r="62" ht="60" customHeight="1">
      <x:c r="A62" s="7" t="str">
        <x:v>E1-S1</x:v>
      </x:c>
      <x:c r="B62" s="7" t="str">
        <x:v>Three weather conditions x three trials</x:v>
      </x:c>
      <x:c r="C62" s="7" t="str">
        <x:v>Completed scenario trials</x:v>
      </x:c>
      <x:c r="D62" s="7" t="str">
        <x:v>count</x:v>
      </x:c>
      <x:c r="E62" s="7" t="str">
        <x:v>&gt;=</x:v>
      </x:c>
      <x:c r="F62" s="25" t="n">
        <x:v>9</x:v>
      </x:c>
      <x:c r="G62" s="25"/>
      <x:c r="H62" s="27" t="n">
        <x:v>9</x:v>
      </x:c>
      <x:c r="I62" s="28" t="n">
        <x:v>0</x:v>
      </x:c>
      <x:c r="J62" s="26"/>
      <x:c r="K62" s="7" t="str">
        <x:f>IF(E62="N/A","N/A",IF(I62=0,"NOT RUN",IF(I62&lt;H62,"INCOMPLETE",IF(ISBLANK(J62),"NO RESULT",IF(E62="report","REPORTED",IF(E62="&gt;=",IF(J62&gt;=F62,"PASS","FAIL"),IF(E62="&lt;=",IF(J62&lt;=G62,"PASS","FAIL"),IF(J62=F62,"PASS","FAIL"))))))))</x:f>
        <x:v>NOT RUN</x:v>
      </x:c>
      <x:c r="L62" s="7" t="str">
        <x:v>Alan</x:v>
      </x:c>
      <x:c r="M62" s="7" t="str"/>
      <x:c r="N62" s="7" t="str">
        <x:v>Each trial also evaluated against applicable baseline metrics; retain per-condition table.</x:v>
      </x:c>
    </x:row>
    <x:row r="63" ht="60" customHeight="1">
      <x:c r="A63" s="7" t="str">
        <x:v>E1-S1</x:v>
      </x:c>
      <x:c r="B63" s="7" t="str">
        <x:v>Three weather conditions x three trials</x:v>
      </x:c>
      <x:c r="C63" s="7" t="str">
        <x:v>Collisions (maximum per run)</x:v>
      </x:c>
      <x:c r="D63" s="7" t="str">
        <x:v>count</x:v>
      </x:c>
      <x:c r="E63" s="7" t="str">
        <x:v>=</x:v>
      </x:c>
      <x:c r="F63" s="25" t="n">
        <x:v>0</x:v>
      </x:c>
      <x:c r="G63" s="25" t="n">
        <x:v>0</x:v>
      </x:c>
      <x:c r="H63" s="27" t="n">
        <x:v>9</x:v>
      </x:c>
      <x:c r="I63" s="28" t="n">
        <x:v>0</x:v>
      </x:c>
      <x:c r="J63" s="26"/>
      <x:c r="K63" s="7" t="str">
        <x:f>IF(E63="N/A","N/A",IF(I63=0,"NOT RUN",IF(I63&lt;H63,"INCOMPLETE",IF(ISBLANK(J63),"NO RESULT",IF(E63="report","REPORTED",IF(E63="&gt;=",IF(J63&gt;=F63,"PASS","FAIL"),IF(E63="&lt;=",IF(J63&lt;=G63,"PASS","FAIL"),IF(J63=F63,"PASS","FAIL"))))))))</x:f>
        <x:v>NOT RUN</x:v>
      </x:c>
      <x:c r="L63" s="7" t="str">
        <x:v>Alan</x:v>
      </x:c>
      <x:c r="M63" s="7" t="str"/>
      <x:c r="N63" s="7" t="str">
        <x:v>All presets do not pass just because matrix is complete.</x:v>
      </x:c>
    </x:row>
    <x:row r="64" ht="60" customHeight="1">
      <x:c r="A64" s="7" t="str">
        <x:v>E1-S1</x:v>
      </x:c>
      <x:c r="B64" s="7" t="str">
        <x:v>Three weather conditions x three trials</x:v>
      </x:c>
      <x:c r="C64" s="7" t="str">
        <x:v>Recall against projected visible ground truth</x:v>
      </x:c>
      <x:c r="D64" s="7" t="str">
        <x:v>fraction</x:v>
      </x:c>
      <x:c r="E64" s="7" t="str">
        <x:v>report</x:v>
      </x:c>
      <x:c r="F64" s="25"/>
      <x:c r="G64" s="25"/>
      <x:c r="H64" s="27" t="n">
        <x:v>9</x:v>
      </x:c>
      <x:c r="I64" s="28" t="n">
        <x:v>0</x:v>
      </x:c>
      <x:c r="J64" s="26"/>
      <x:c r="K64" s="7" t="str">
        <x:f>IF(E64="N/A","N/A",IF(I64=0,"NOT RUN",IF(I64&lt;H64,"INCOMPLETE",IF(ISBLANK(J64),"NO RESULT",IF(E64="report","REPORTED",IF(E64="&gt;=",IF(J64&gt;=F64,"PASS","FAIL"),IF(E64="&lt;=",IF(J64&lt;=G64,"PASS","FAIL"),IF(J64=F64,"PASS","FAIL"))))))))</x:f>
        <x:v>NOT RUN</x:v>
      </x:c>
      <x:c r="L64" s="7" t="str">
        <x:v>Ricky</x:v>
      </x:c>
      <x:c r="M64" s="7" t="str"/>
      <x:c r="N64" s="7" t="str">
        <x:v>Report per class/condition with matching policy, sample counts and occlusion rules.</x:v>
      </x:c>
    </x:row>
    <x:row r="65" ht="60" customHeight="1">
      <x:c r="A65" s="7" t="str">
        <x:v>E1-S2</x:v>
      </x:c>
      <x:c r="B65" s="7" t="str">
        <x:v>Three weather conditions x three trials</x:v>
      </x:c>
      <x:c r="C65" s="7" t="str">
        <x:v>Completed scenario trials</x:v>
      </x:c>
      <x:c r="D65" s="7" t="str">
        <x:v>count</x:v>
      </x:c>
      <x:c r="E65" s="7" t="str">
        <x:v>&gt;=</x:v>
      </x:c>
      <x:c r="F65" s="25" t="n">
        <x:v>9</x:v>
      </x:c>
      <x:c r="G65" s="25"/>
      <x:c r="H65" s="27" t="n">
        <x:v>9</x:v>
      </x:c>
      <x:c r="I65" s="28" t="n">
        <x:v>0</x:v>
      </x:c>
      <x:c r="J65" s="26"/>
      <x:c r="K65" s="7" t="str">
        <x:f>IF(E65="N/A","N/A",IF(I65=0,"NOT RUN",IF(I65&lt;H65,"INCOMPLETE",IF(ISBLANK(J65),"NO RESULT",IF(E65="report","REPORTED",IF(E65="&gt;=",IF(J65&gt;=F65,"PASS","FAIL"),IF(E65="&lt;=",IF(J65&lt;=G65,"PASS","FAIL"),IF(J65=F65,"PASS","FAIL"))))))))</x:f>
        <x:v>NOT RUN</x:v>
      </x:c>
      <x:c r="L65" s="7" t="str">
        <x:v>Alan</x:v>
      </x:c>
      <x:c r="M65" s="7" t="str"/>
      <x:c r="N65" s="7" t="str">
        <x:v>Each trial also evaluated against applicable baseline metrics; retain per-condition table.</x:v>
      </x:c>
    </x:row>
    <x:row r="66" ht="60" customHeight="1">
      <x:c r="A66" s="7" t="str">
        <x:v>E1-S2</x:v>
      </x:c>
      <x:c r="B66" s="7" t="str">
        <x:v>Three weather conditions x three trials</x:v>
      </x:c>
      <x:c r="C66" s="7" t="str">
        <x:v>Collisions (maximum per run)</x:v>
      </x:c>
      <x:c r="D66" s="7" t="str">
        <x:v>count</x:v>
      </x:c>
      <x:c r="E66" s="7" t="str">
        <x:v>=</x:v>
      </x:c>
      <x:c r="F66" s="25" t="n">
        <x:v>0</x:v>
      </x:c>
      <x:c r="G66" s="25" t="n">
        <x:v>0</x:v>
      </x:c>
      <x:c r="H66" s="27" t="n">
        <x:v>9</x:v>
      </x:c>
      <x:c r="I66" s="28" t="n">
        <x:v>0</x:v>
      </x:c>
      <x:c r="J66" s="26"/>
      <x:c r="K66" s="7" t="str">
        <x:f>IF(E66="N/A","N/A",IF(I66=0,"NOT RUN",IF(I66&lt;H66,"INCOMPLETE",IF(ISBLANK(J66),"NO RESULT",IF(E66="report","REPORTED",IF(E66="&gt;=",IF(J66&gt;=F66,"PASS","FAIL"),IF(E66="&lt;=",IF(J66&lt;=G66,"PASS","FAIL"),IF(J66=F66,"PASS","FAIL"))))))))</x:f>
        <x:v>NOT RUN</x:v>
      </x:c>
      <x:c r="L66" s="7" t="str">
        <x:v>Alan</x:v>
      </x:c>
      <x:c r="M66" s="7" t="str"/>
      <x:c r="N66" s="7" t="str">
        <x:v>All presets do not pass just because matrix is complete.</x:v>
      </x:c>
    </x:row>
    <x:row r="67" ht="60" customHeight="1">
      <x:c r="A67" s="7" t="str">
        <x:v>E1-S2</x:v>
      </x:c>
      <x:c r="B67" s="7" t="str">
        <x:v>Three weather conditions x three trials</x:v>
      </x:c>
      <x:c r="C67" s="7" t="str">
        <x:v>Recall against projected visible ground truth</x:v>
      </x:c>
      <x:c r="D67" s="7" t="str">
        <x:v>fraction</x:v>
      </x:c>
      <x:c r="E67" s="7" t="str">
        <x:v>report</x:v>
      </x:c>
      <x:c r="F67" s="25"/>
      <x:c r="G67" s="25"/>
      <x:c r="H67" s="27" t="n">
        <x:v>9</x:v>
      </x:c>
      <x:c r="I67" s="28" t="n">
        <x:v>0</x:v>
      </x:c>
      <x:c r="J67" s="26"/>
      <x:c r="K67" s="7" t="str">
        <x:f>IF(E67="N/A","N/A",IF(I67=0,"NOT RUN",IF(I67&lt;H67,"INCOMPLETE",IF(ISBLANK(J67),"NO RESULT",IF(E67="report","REPORTED",IF(E67="&gt;=",IF(J67&gt;=F67,"PASS","FAIL"),IF(E67="&lt;=",IF(J67&lt;=G67,"PASS","FAIL"),IF(J67=F67,"PASS","FAIL"))))))))</x:f>
        <x:v>NOT RUN</x:v>
      </x:c>
      <x:c r="L67" s="7" t="str">
        <x:v>Ricky</x:v>
      </x:c>
      <x:c r="M67" s="7" t="str"/>
      <x:c r="N67" s="7" t="str">
        <x:v>Report per class/condition with matching policy, sample counts and occlusion rules.</x:v>
      </x:c>
    </x:row>
    <x:row r="68" ht="60" customHeight="1">
      <x:c r="A68" s="7" t="str">
        <x:v>L1</x:v>
      </x:c>
      <x:c r="B68" s="7" t="str">
        <x:v>Verified YOLO-missed prop</x:v>
      </x:c>
      <x:c r="C68" s="7" t="str">
        <x:v>Successful trials</x:v>
      </x:c>
      <x:c r="D68" s="7" t="str">
        <x:v>count</x:v>
      </x:c>
      <x:c r="E68" s="7" t="str">
        <x:v>&gt;=</x:v>
      </x:c>
      <x:c r="F68" s="25" t="n">
        <x:v>5</x:v>
      </x:c>
      <x:c r="G68" s="25"/>
      <x:c r="H68" s="27" t="n">
        <x:v>5</x:v>
      </x:c>
      <x:c r="I68" s="28" t="n">
        <x:v>0</x:v>
      </x:c>
      <x:c r="J68" s="26"/>
      <x:c r="K68" s="7" t="str">
        <x:f>IF(E68="N/A","N/A",IF(I68=0,"NOT RUN",IF(I68&lt;H68,"INCOMPLETE",IF(ISBLANK(J68),"NO RESULT",IF(E68="report","REPORTED",IF(E68="&gt;=",IF(J68&gt;=F68,"PASS","FAIL"),IF(E68="&lt;=",IF(J68&lt;=G68,"PASS","FAIL"),IF(J68=F68,"PASS","FAIL"))))))))</x:f>
        <x:v>NOT RUN</x:v>
      </x:c>
      <x:c r="L68" s="7" t="str">
        <x:v>Mohammad</x:v>
      </x:c>
      <x:c r="M68" s="7" t="str"/>
      <x:c r="N68" s="7" t="str">
        <x:v>P2 stays NOT RUN if cut; do not infer CARLA success from harness.</x:v>
      </x:c>
    </x:row>
    <x:row r="69" ht="60" customHeight="1">
      <x:c r="A69" s="7" t="str">
        <x:v>L1</x:v>
      </x:c>
      <x:c r="B69" s="7" t="str">
        <x:v>Verified YOLO-missed prop</x:v>
      </x:c>
      <x:c r="C69" s="7" t="str">
        <x:v>Collisions (maximum per run)</x:v>
      </x:c>
      <x:c r="D69" s="7" t="str">
        <x:v>count</x:v>
      </x:c>
      <x:c r="E69" s="7" t="str">
        <x:v>=</x:v>
      </x:c>
      <x:c r="F69" s="25" t="n">
        <x:v>0</x:v>
      </x:c>
      <x:c r="G69" s="25" t="n">
        <x:v>0</x:v>
      </x:c>
      <x:c r="H69" s="27" t="n">
        <x:v>5</x:v>
      </x:c>
      <x:c r="I69" s="28" t="n">
        <x:v>0</x:v>
      </x:c>
      <x:c r="J69" s="26"/>
      <x:c r="K69" s="7" t="str">
        <x:f>IF(E69="N/A","N/A",IF(I69=0,"NOT RUN",IF(I69&lt;H69,"INCOMPLETE",IF(ISBLANK(J69),"NO RESULT",IF(E69="report","REPORTED",IF(E69="&gt;=",IF(J69&gt;=F69,"PASS","FAIL"),IF(E69="&lt;=",IF(J69&lt;=G69,"PASS","FAIL"),IF(J69=F69,"PASS","FAIL"))))))))</x:f>
        <x:v>NOT RUN</x:v>
      </x:c>
      <x:c r="L69" s="7" t="str">
        <x:v>Mohammad</x:v>
      </x:c>
      <x:c r="M69" s="7" t="str"/>
      <x:c r="N69" s="7" t="str">
        <x:v>All trials retained.</x:v>
      </x:c>
    </x:row>
    <x:row r="70" ht="60" customHeight="1">
      <x:c r="A70" s="7" t="str">
        <x:v>WF1</x:v>
      </x:c>
      <x:c r="B70" s="7" t="str">
        <x:v>Five legal origin-destination pairs</x:v>
      </x:c>
      <x:c r="C70" s="7" t="str">
        <x:v>Successful trials</x:v>
      </x:c>
      <x:c r="D70" s="7" t="str">
        <x:v>count</x:v>
      </x:c>
      <x:c r="E70" s="7" t="str">
        <x:v>&gt;=</x:v>
      </x:c>
      <x:c r="F70" s="25" t="n">
        <x:v>5</x:v>
      </x:c>
      <x:c r="G70" s="25"/>
      <x:c r="H70" s="27" t="n">
        <x:v>5</x:v>
      </x:c>
      <x:c r="I70" s="28" t="n">
        <x:v>0</x:v>
      </x:c>
      <x:c r="J70" s="26"/>
      <x:c r="K70" s="7" t="str">
        <x:f>IF(E70="N/A","N/A",IF(I70=0,"NOT RUN",IF(I70&lt;H70,"INCOMPLETE",IF(ISBLANK(J70),"NO RESULT",IF(E70="report","REPORTED",IF(E70="&gt;=",IF(J70&gt;=F70,"PASS","FAIL"),IF(E70="&lt;=",IF(J70&lt;=G70,"PASS","FAIL"),IF(J70=F70,"PASS","FAIL"))))))))</x:f>
        <x:v>NOT RUN</x:v>
      </x:c>
      <x:c r="L70" s="7" t="str">
        <x:v>Abdullah</x:v>
      </x:c>
      <x:c r="M70" s="7" t="str"/>
      <x:c r="N70" s="7" t="str">
        <x:v>P2 stays NOT RUN if cut; do not infer CARLA success from harness.</x:v>
      </x:c>
    </x:row>
    <x:row r="71" ht="60" customHeight="1">
      <x:c r="A71" s="7" t="str">
        <x:v>WF1</x:v>
      </x:c>
      <x:c r="B71" s="7" t="str">
        <x:v>Five legal origin-destination pairs</x:v>
      </x:c>
      <x:c r="C71" s="7" t="str">
        <x:v>Collisions (maximum per run)</x:v>
      </x:c>
      <x:c r="D71" s="7" t="str">
        <x:v>count</x:v>
      </x:c>
      <x:c r="E71" s="7" t="str">
        <x:v>=</x:v>
      </x:c>
      <x:c r="F71" s="25" t="n">
        <x:v>0</x:v>
      </x:c>
      <x:c r="G71" s="25" t="n">
        <x:v>0</x:v>
      </x:c>
      <x:c r="H71" s="27" t="n">
        <x:v>5</x:v>
      </x:c>
      <x:c r="I71" s="28" t="n">
        <x:v>0</x:v>
      </x:c>
      <x:c r="J71" s="26"/>
      <x:c r="K71" s="7" t="str">
        <x:f>IF(E71="N/A","N/A",IF(I71=0,"NOT RUN",IF(I71&lt;H71,"INCOMPLETE",IF(ISBLANK(J71),"NO RESULT",IF(E71="report","REPORTED",IF(E71="&gt;=",IF(J71&gt;=F71,"PASS","FAIL"),IF(E71="&lt;=",IF(J71&lt;=G71,"PASS","FAIL"),IF(J71=F71,"PASS","FAIL"))))))))</x:f>
        <x:v>NOT RUN</x:v>
      </x:c>
      <x:c r="L71" s="7" t="str">
        <x:v>Abdullah</x:v>
      </x:c>
      <x:c r="M71" s="7" t="str"/>
      <x:c r="N71" s="7" t="str">
        <x:v>All trials retained.</x:v>
      </x:c>
    </x:row>
    <x:row r="72" ht="60" customHeight="1">
      <x:c r="A72" s="7" t="str">
        <x:v>P1</x:v>
      </x:c>
      <x:c r="B72" s="7" t="str">
        <x:v>Forward bay parking</x:v>
      </x:c>
      <x:c r="C72" s="7" t="str">
        <x:v>Successful trials</x:v>
      </x:c>
      <x:c r="D72" s="7" t="str">
        <x:v>count</x:v>
      </x:c>
      <x:c r="E72" s="7" t="str">
        <x:v>&gt;=</x:v>
      </x:c>
      <x:c r="F72" s="25" t="n">
        <x:v>5</x:v>
      </x:c>
      <x:c r="G72" s="25"/>
      <x:c r="H72" s="27" t="n">
        <x:v>5</x:v>
      </x:c>
      <x:c r="I72" s="28" t="n">
        <x:v>0</x:v>
      </x:c>
      <x:c r="J72" s="26"/>
      <x:c r="K72" s="7" t="str">
        <x:f>IF(E72="N/A","N/A",IF(I72=0,"NOT RUN",IF(I72&lt;H72,"INCOMPLETE",IF(ISBLANK(J72),"NO RESULT",IF(E72="report","REPORTED",IF(E72="&gt;=",IF(J72&gt;=F72,"PASS","FAIL"),IF(E72="&lt;=",IF(J72&lt;=G72,"PASS","FAIL"),IF(J72=F72,"PASS","FAIL"))))))))</x:f>
        <x:v>NOT RUN</x:v>
      </x:c>
      <x:c r="L72" s="7" t="str">
        <x:v>Zhaolin</x:v>
      </x:c>
      <x:c r="M72" s="7" t="str"/>
      <x:c r="N72" s="7" t="str">
        <x:v>P2 stays NOT RUN if cut; do not infer CARLA success from harness.</x:v>
      </x:c>
    </x:row>
    <x:row r="73" ht="60" customHeight="1">
      <x:c r="A73" s="7" t="str">
        <x:v>P1</x:v>
      </x:c>
      <x:c r="B73" s="7" t="str">
        <x:v>Forward bay parking</x:v>
      </x:c>
      <x:c r="C73" s="7" t="str">
        <x:v>Collisions (maximum per run)</x:v>
      </x:c>
      <x:c r="D73" s="7" t="str">
        <x:v>count</x:v>
      </x:c>
      <x:c r="E73" s="7" t="str">
        <x:v>=</x:v>
      </x:c>
      <x:c r="F73" s="25" t="n">
        <x:v>0</x:v>
      </x:c>
      <x:c r="G73" s="25" t="n">
        <x:v>0</x:v>
      </x:c>
      <x:c r="H73" s="27" t="n">
        <x:v>5</x:v>
      </x:c>
      <x:c r="I73" s="28" t="n">
        <x:v>0</x:v>
      </x:c>
      <x:c r="J73" s="26"/>
      <x:c r="K73" s="7" t="str">
        <x:f>IF(E73="N/A","N/A",IF(I73=0,"NOT RUN",IF(I73&lt;H73,"INCOMPLETE",IF(ISBLANK(J73),"NO RESULT",IF(E73="report","REPORTED",IF(E73="&gt;=",IF(J73&gt;=F73,"PASS","FAIL"),IF(E73="&lt;=",IF(J73&lt;=G73,"PASS","FAIL"),IF(J73=F73,"PASS","FAIL"))))))))</x:f>
        <x:v>NOT RUN</x:v>
      </x:c>
      <x:c r="L73" s="7" t="str">
        <x:v>Zhaolin</x:v>
      </x:c>
      <x:c r="M73" s="7" t="str"/>
      <x:c r="N73" s="7" t="str">
        <x:v>All trials retained.</x:v>
      </x:c>
    </x:row>
    <x:row r="74" ht="60" customHeight="1">
      <x:c r="A74" s="7" t="str">
        <x:v>P1</x:v>
      </x:c>
      <x:c r="B74" s="7" t="str">
        <x:v>Forward bay parking</x:v>
      </x:c>
      <x:c r="C74" s="7" t="str">
        <x:v>Final position error (worst run)</x:v>
      </x:c>
      <x:c r="D74" s="7" t="str">
        <x:v>m</x:v>
      </x:c>
      <x:c r="E74" s="7" t="str">
        <x:v>&lt;=</x:v>
      </x:c>
      <x:c r="F74" s="25"/>
      <x:c r="G74" s="25" t="n">
        <x:v>0.3</x:v>
      </x:c>
      <x:c r="H74" s="27" t="n">
        <x:v>5</x:v>
      </x:c>
      <x:c r="I74" s="28" t="n">
        <x:v>0</x:v>
      </x:c>
      <x:c r="J74" s="26"/>
      <x:c r="K74" s="7" t="str">
        <x:f>IF(E74="N/A","N/A",IF(I74=0,"NOT RUN",IF(I74&lt;H74,"INCOMPLETE",IF(ISBLANK(J74),"NO RESULT",IF(E74="report","REPORTED",IF(E74="&gt;=",IF(J74&gt;=F74,"PASS","FAIL"),IF(E74="&lt;=",IF(J74&lt;=G74,"PASS","FAIL"),IF(J74=F74,"PASS","FAIL"))))))))</x:f>
        <x:v>NOT RUN</x:v>
      </x:c>
      <x:c r="L74" s="7" t="str">
        <x:v>Zhaolin</x:v>
      </x:c>
      <x:c r="M74" s="7" t="str"/>
      <x:c r="N74" s="7" t="str">
        <x:v>Final target reference point explicitly defined in bay schema.</x:v>
      </x:c>
    </x:row>
    <x:row r="75" ht="60" customHeight="1">
      <x:c r="A75" s="7" t="str">
        <x:v>P1</x:v>
      </x:c>
      <x:c r="B75" s="7" t="str">
        <x:v>Forward bay parking</x:v>
      </x:c>
      <x:c r="C75" s="7" t="str">
        <x:v>Final heading error (worst run)</x:v>
      </x:c>
      <x:c r="D75" s="7" t="str">
        <x:v>deg</x:v>
      </x:c>
      <x:c r="E75" s="7" t="str">
        <x:v>&lt;=</x:v>
      </x:c>
      <x:c r="F75" s="25"/>
      <x:c r="G75" s="25" t="n">
        <x:v>5</x:v>
      </x:c>
      <x:c r="H75" s="27" t="n">
        <x:v>5</x:v>
      </x:c>
      <x:c r="I75" s="28" t="n">
        <x:v>0</x:v>
      </x:c>
      <x:c r="J75" s="26"/>
      <x:c r="K75" s="7" t="str">
        <x:f>IF(E75="N/A","N/A",IF(I75=0,"NOT RUN",IF(I75&lt;H75,"INCOMPLETE",IF(ISBLANK(J75),"NO RESULT",IF(E75="report","REPORTED",IF(E75="&gt;=",IF(J75&gt;=F75,"PASS","FAIL"),IF(E75="&lt;=",IF(J75&lt;=G75,"PASS","FAIL"),IF(J75=F75,"PASS","FAIL"))))))))</x:f>
        <x:v>NOT RUN</x:v>
      </x:c>
      <x:c r="L75" s="7" t="str">
        <x:v>Zhaolin</x:v>
      </x:c>
      <x:c r="M75" s="7" t="str"/>
      <x:c r="N75" s="7" t="str">
        <x:v>Wrapped absolute heading error.</x:v>
      </x:c>
    </x:row>
    <x:row r="76" ht="60" customHeight="1">
      <x:c r="A76" s="7" t="str">
        <x:v>P1</x:v>
      </x:c>
      <x:c r="B76" s="7" t="str">
        <x:v>Forward bay parking</x:v>
      </x:c>
      <x:c r="C76" s="7" t="str">
        <x:v>Time to park (median)</x:v>
      </x:c>
      <x:c r="D76" s="7" t="str">
        <x:v>s</x:v>
      </x:c>
      <x:c r="E76" s="7" t="str">
        <x:v>report</x:v>
      </x:c>
      <x:c r="F76" s="25"/>
      <x:c r="G76" s="25"/>
      <x:c r="H76" s="27" t="n">
        <x:v>5</x:v>
      </x:c>
      <x:c r="I76" s="28" t="n">
        <x:v>0</x:v>
      </x:c>
      <x:c r="J76" s="26"/>
      <x:c r="K76" s="7" t="str">
        <x:f>IF(E76="N/A","N/A",IF(I76=0,"NOT RUN",IF(I76&lt;H76,"INCOMPLETE",IF(ISBLANK(J76),"NO RESULT",IF(E76="report","REPORTED",IF(E76="&gt;=",IF(J76&gt;=F76,"PASS","FAIL"),IF(E76="&lt;=",IF(J76&lt;=G76,"PASS","FAIL"),IF(J76=F76,"PASS","FAIL"))))))))</x:f>
        <x:v>NOT RUN</x:v>
      </x:c>
      <x:c r="L76" s="7" t="str">
        <x:v>Zhaolin</x:v>
      </x:c>
      <x:c r="M76" s="7" t="str"/>
      <x:c r="N76" s="7" t="str">
        <x:v>No required maximum; note timeout setting.</x:v>
      </x:c>
    </x:row>
    <x:row r="77" ht="60" customHeight="1">
      <x:c r="A77" s="7" t="str">
        <x:v>P2</x:v>
      </x:c>
      <x:c r="B77" s="7" t="str">
        <x:v>Reverse parallel parking; conditional</x:v>
      </x:c>
      <x:c r="C77" s="7" t="str">
        <x:v>Successful trials</x:v>
      </x:c>
      <x:c r="D77" s="7" t="str">
        <x:v>count</x:v>
      </x:c>
      <x:c r="E77" s="7" t="str">
        <x:v>&gt;=</x:v>
      </x:c>
      <x:c r="F77" s="25" t="n">
        <x:v>5</x:v>
      </x:c>
      <x:c r="G77" s="25"/>
      <x:c r="H77" s="27" t="n">
        <x:v>5</x:v>
      </x:c>
      <x:c r="I77" s="28" t="n">
        <x:v>0</x:v>
      </x:c>
      <x:c r="J77" s="26"/>
      <x:c r="K77" s="7" t="str">
        <x:f>IF(E77="N/A","N/A",IF(I77=0,"NOT RUN",IF(I77&lt;H77,"INCOMPLETE",IF(ISBLANK(J77),"NO RESULT",IF(E77="report","REPORTED",IF(E77="&gt;=",IF(J77&gt;=F77,"PASS","FAIL"),IF(E77="&lt;=",IF(J77&lt;=G77,"PASS","FAIL"),IF(J77=F77,"PASS","FAIL"))))))))</x:f>
        <x:v>NOT RUN</x:v>
      </x:c>
      <x:c r="L77" s="7" t="str">
        <x:v>Zhaolin</x:v>
      </x:c>
      <x:c r="M77" s="7" t="str"/>
      <x:c r="N77" s="7" t="str">
        <x:v>P2 stays NOT RUN if cut; do not infer CARLA success from harness.</x:v>
      </x:c>
    </x:row>
    <x:row r="78" ht="60" customHeight="1">
      <x:c r="A78" s="7" t="str">
        <x:v>P2</x:v>
      </x:c>
      <x:c r="B78" s="7" t="str">
        <x:v>Reverse parallel parking; conditional</x:v>
      </x:c>
      <x:c r="C78" s="7" t="str">
        <x:v>Collisions (maximum per run)</x:v>
      </x:c>
      <x:c r="D78" s="7" t="str">
        <x:v>count</x:v>
      </x:c>
      <x:c r="E78" s="7" t="str">
        <x:v>=</x:v>
      </x:c>
      <x:c r="F78" s="25" t="n">
        <x:v>0</x:v>
      </x:c>
      <x:c r="G78" s="25" t="n">
        <x:v>0</x:v>
      </x:c>
      <x:c r="H78" s="27" t="n">
        <x:v>5</x:v>
      </x:c>
      <x:c r="I78" s="28" t="n">
        <x:v>0</x:v>
      </x:c>
      <x:c r="J78" s="26"/>
      <x:c r="K78" s="7" t="str">
        <x:f>IF(E78="N/A","N/A",IF(I78=0,"NOT RUN",IF(I78&lt;H78,"INCOMPLETE",IF(ISBLANK(J78),"NO RESULT",IF(E78="report","REPORTED",IF(E78="&gt;=",IF(J78&gt;=F78,"PASS","FAIL"),IF(E78="&lt;=",IF(J78&lt;=G78,"PASS","FAIL"),IF(J78=F78,"PASS","FAIL"))))))))</x:f>
        <x:v>NOT RUN</x:v>
      </x:c>
      <x:c r="L78" s="7" t="str">
        <x:v>Zhaolin</x:v>
      </x:c>
      <x:c r="M78" s="7" t="str"/>
      <x:c r="N78" s="7" t="str">
        <x:v>All trials retained.</x:v>
      </x:c>
    </x:row>
    <x:row r="79" ht="60" customHeight="1">
      <x:c r="A79" s="7" t="str">
        <x:v>P2</x:v>
      </x:c>
      <x:c r="B79" s="7" t="str">
        <x:v>Reverse parallel parking; conditional</x:v>
      </x:c>
      <x:c r="C79" s="7" t="str">
        <x:v>Final position error (worst run)</x:v>
      </x:c>
      <x:c r="D79" s="7" t="str">
        <x:v>m</x:v>
      </x:c>
      <x:c r="E79" s="7" t="str">
        <x:v>&lt;=</x:v>
      </x:c>
      <x:c r="F79" s="25"/>
      <x:c r="G79" s="25" t="n">
        <x:v>0.3</x:v>
      </x:c>
      <x:c r="H79" s="27" t="n">
        <x:v>5</x:v>
      </x:c>
      <x:c r="I79" s="28" t="n">
        <x:v>0</x:v>
      </x:c>
      <x:c r="J79" s="26"/>
      <x:c r="K79" s="7" t="str">
        <x:f>IF(E79="N/A","N/A",IF(I79=0,"NOT RUN",IF(I79&lt;H79,"INCOMPLETE",IF(ISBLANK(J79),"NO RESULT",IF(E79="report","REPORTED",IF(E79="&gt;=",IF(J79&gt;=F79,"PASS","FAIL"),IF(E79="&lt;=",IF(J79&lt;=G79,"PASS","FAIL"),IF(J79=F79,"PASS","FAIL"))))))))</x:f>
        <x:v>NOT RUN</x:v>
      </x:c>
      <x:c r="L79" s="7" t="str">
        <x:v>Zhaolin</x:v>
      </x:c>
      <x:c r="M79" s="7" t="str"/>
      <x:c r="N79" s="7" t="str">
        <x:v>Final target reference point explicitly defined in bay schema.</x:v>
      </x:c>
    </x:row>
    <x:row r="80" ht="60" customHeight="1">
      <x:c r="A80" s="7" t="str">
        <x:v>P2</x:v>
      </x:c>
      <x:c r="B80" s="7" t="str">
        <x:v>Reverse parallel parking; conditional</x:v>
      </x:c>
      <x:c r="C80" s="7" t="str">
        <x:v>Final heading error (worst run)</x:v>
      </x:c>
      <x:c r="D80" s="7" t="str">
        <x:v>deg</x:v>
      </x:c>
      <x:c r="E80" s="7" t="str">
        <x:v>&lt;=</x:v>
      </x:c>
      <x:c r="F80" s="25"/>
      <x:c r="G80" s="25" t="n">
        <x:v>5</x:v>
      </x:c>
      <x:c r="H80" s="27" t="n">
        <x:v>5</x:v>
      </x:c>
      <x:c r="I80" s="28" t="n">
        <x:v>0</x:v>
      </x:c>
      <x:c r="J80" s="26"/>
      <x:c r="K80" s="7" t="str">
        <x:f>IF(E80="N/A","N/A",IF(I80=0,"NOT RUN",IF(I80&lt;H80,"INCOMPLETE",IF(ISBLANK(J80),"NO RESULT",IF(E80="report","REPORTED",IF(E80="&gt;=",IF(J80&gt;=F80,"PASS","FAIL"),IF(E80="&lt;=",IF(J80&lt;=G80,"PASS","FAIL"),IF(J80=F80,"PASS","FAIL"))))))))</x:f>
        <x:v>NOT RUN</x:v>
      </x:c>
      <x:c r="L80" s="7" t="str">
        <x:v>Zhaolin</x:v>
      </x:c>
      <x:c r="M80" s="7" t="str"/>
      <x:c r="N80" s="7" t="str">
        <x:v>Wrapped absolute heading error.</x:v>
      </x:c>
    </x:row>
    <x:row r="81" ht="60" customHeight="1">
      <x:c r="A81" s="7" t="str">
        <x:v>P2</x:v>
      </x:c>
      <x:c r="B81" s="7" t="str">
        <x:v>Reverse parallel parking; conditional</x:v>
      </x:c>
      <x:c r="C81" s="7" t="str">
        <x:v>Time to park (median)</x:v>
      </x:c>
      <x:c r="D81" s="7" t="str">
        <x:v>s</x:v>
      </x:c>
      <x:c r="E81" s="7" t="str">
        <x:v>report</x:v>
      </x:c>
      <x:c r="F81" s="25"/>
      <x:c r="G81" s="25"/>
      <x:c r="H81" s="27" t="n">
        <x:v>5</x:v>
      </x:c>
      <x:c r="I81" s="28" t="n">
        <x:v>0</x:v>
      </x:c>
      <x:c r="J81" s="26"/>
      <x:c r="K81" s="7" t="str">
        <x:f>IF(E81="N/A","N/A",IF(I81=0,"NOT RUN",IF(I81&lt;H81,"INCOMPLETE",IF(ISBLANK(J81),"NO RESULT",IF(E81="report","REPORTED",IF(E81="&gt;=",IF(J81&gt;=F81,"PASS","FAIL"),IF(E81="&lt;=",IF(J81&lt;=G81,"PASS","FAIL"),IF(J81=F81,"PASS","FAIL"))))))))</x:f>
        <x:v>NOT RUN</x:v>
      </x:c>
      <x:c r="L81" s="7" t="str">
        <x:v>Zhaolin</x:v>
      </x:c>
      <x:c r="M81" s="7" t="str"/>
      <x:c r="N81" s="7" t="str">
        <x:v>No required maximum; note timeout setting.</x:v>
      </x:c>
    </x:row>
    <x:row r="82" ht="60" customHeight="1">
      <x:c r="A82" s="7" t="str">
        <x:v>CLOUD</x:v>
      </x:c>
      <x:c r="B82" s="7" t="str">
        <x:v>Server killed during run</x:v>
      </x:c>
      <x:c r="C82" s="7" t="str">
        <x:v>Fallback delay (worst)</x:v>
      </x:c>
      <x:c r="D82" s="7" t="str">
        <x:v>control ticks</x:v>
      </x:c>
      <x:c r="E82" s="7" t="str">
        <x:v>&lt;=</x:v>
      </x:c>
      <x:c r="F82" s="25"/>
      <x:c r="G82" s="25" t="n">
        <x:v>1</x:v>
      </x:c>
      <x:c r="H82" s="27" t="n">
        <x:v>5</x:v>
      </x:c>
      <x:c r="I82" s="28" t="n">
        <x:v>0</x:v>
      </x:c>
      <x:c r="J82" s="26"/>
      <x:c r="K82" s="7" t="str">
        <x:f>IF(E82="N/A","N/A",IF(I82=0,"NOT RUN",IF(I82&lt;H82,"INCOMPLETE",IF(ISBLANK(J82),"NO RESULT",IF(E82="report","REPORTED",IF(E82="&gt;=",IF(J82&gt;=F82,"PASS","FAIL"),IF(E82="&lt;=",IF(J82&lt;=G82,"PASS","FAIL"),IF(J82=F82,"PASS","FAIL"))))))))</x:f>
        <x:v>NOT RUN</x:v>
      </x:c>
      <x:c r="L82" s="7" t="str">
        <x:v>Saviour</x:v>
      </x:c>
      <x:c r="M82" s="7" t="str"/>
      <x:c r="N82" s="7" t="str">
        <x:v>Requires fresh concurrent local result; otherwise safe stop by next tick.</x:v>
      </x:c>
    </x:row>
    <x:row r="83" ht="60" customHeight="1">
      <x:c r="A83" s="7" t="str">
        <x:v>CLOUD</x:v>
      </x:c>
      <x:c r="B83" s="7" t="str">
        <x:v>Local/LAN/cloud replay sweep</x:v>
      </x:c>
      <x:c r="C83" s="7" t="str">
        <x:v>Deadline-miss rate</x:v>
      </x:c>
      <x:c r="D83" s="7" t="str">
        <x:v>fraction</x:v>
      </x:c>
      <x:c r="E83" s="7" t="str">
        <x:v>report</x:v>
      </x:c>
      <x:c r="F83" s="25"/>
      <x:c r="G83" s="25"/>
      <x:c r="H83" s="27" t="n">
        <x:v>3</x:v>
      </x:c>
      <x:c r="I83" s="28" t="n">
        <x:v>0</x:v>
      </x:c>
      <x:c r="J83" s="26"/>
      <x:c r="K83" s="7" t="str">
        <x:f>IF(E83="N/A","N/A",IF(I83=0,"NOT RUN",IF(I83&lt;H83,"INCOMPLETE",IF(ISBLANK(J83),"NO RESULT",IF(E83="report","REPORTED",IF(E83="&gt;=",IF(J83&gt;=F83,"PASS","FAIL"),IF(E83="&lt;=",IF(J83&lt;=G83,"PASS","FAIL"),IF(J83=F83,"PASS","FAIL"))))))))</x:f>
        <x:v>NOT RUN</x:v>
      </x:c>
      <x:c r="L83" s="7" t="str">
        <x:v>Saviour</x:v>
      </x:c>
      <x:c r="M83" s="7" t="str"/>
      <x:c r="N83" s="7" t="str">
        <x:v>Three backends only if available; &gt;=200 warm frames per size/quality; missing cloud remains NOT RUN.</x:v>
      </x:c>
    </x:row>
    <x:row r="84" ht="60" customHeight="1">
      <x:c r="A84" s="7" t="str">
        <x:v>REG-E1</x:v>
      </x:c>
      <x:c r="B84" s="7" t="str">
        <x:v>S0-S5 x five with selected flag(s)</x:v>
      </x:c>
      <x:c r="C84" s="7" t="str">
        <x:v>Passing baseline trials</x:v>
      </x:c>
      <x:c r="D84" s="7" t="str">
        <x:v>count</x:v>
      </x:c>
      <x:c r="E84" s="7" t="str">
        <x:v>&gt;=</x:v>
      </x:c>
      <x:c r="F84" s="25" t="n">
        <x:v>30</x:v>
      </x:c>
      <x:c r="G84" s="25"/>
      <x:c r="H84" s="27" t="n">
        <x:v>30</x:v>
      </x:c>
      <x:c r="I84" s="28" t="n">
        <x:v>0</x:v>
      </x:c>
      <x:c r="J84" s="26"/>
      <x:c r="K84" s="7" t="str">
        <x:f>IF(E84="N/A","N/A",IF(I84=0,"NOT RUN",IF(I84&lt;H84,"INCOMPLETE",IF(ISBLANK(J84),"NO RESULT",IF(E84="report","REPORTED",IF(E84="&gt;=",IF(J84&gt;=F84,"PASS","FAIL"),IF(E84="&lt;=",IF(J84&lt;=G84,"PASS","FAIL"),IF(J84=F84,"PASS","FAIL"))))))))</x:f>
        <x:v>NOT RUN</x:v>
      </x:c>
      <x:c r="L84" s="7" t="str">
        <x:v>Mohammad</x:v>
      </x:c>
      <x:c r="M84" s="7" t="str"/>
      <x:c r="N84" s="7" t="str">
        <x:v>Admission also checks every applicable threshold, not merely test execution count.</x:v>
      </x:c>
    </x:row>
    <x:row r="85" ht="60" customHeight="1">
      <x:c r="A85" s="7" t="str">
        <x:v>REG-E2</x:v>
      </x:c>
      <x:c r="B85" s="7" t="str">
        <x:v>S0-S5 x five with selected flag(s)</x:v>
      </x:c>
      <x:c r="C85" s="7" t="str">
        <x:v>Passing baseline trials</x:v>
      </x:c>
      <x:c r="D85" s="7" t="str">
        <x:v>count</x:v>
      </x:c>
      <x:c r="E85" s="7" t="str">
        <x:v>&gt;=</x:v>
      </x:c>
      <x:c r="F85" s="25" t="n">
        <x:v>30</x:v>
      </x:c>
      <x:c r="G85" s="25"/>
      <x:c r="H85" s="27" t="n">
        <x:v>30</x:v>
      </x:c>
      <x:c r="I85" s="28" t="n">
        <x:v>0</x:v>
      </x:c>
      <x:c r="J85" s="26"/>
      <x:c r="K85" s="7" t="str">
        <x:f>IF(E85="N/A","N/A",IF(I85=0,"NOT RUN",IF(I85&lt;H85,"INCOMPLETE",IF(ISBLANK(J85),"NO RESULT",IF(E85="report","REPORTED",IF(E85="&gt;=",IF(J85&gt;=F85,"PASS","FAIL"),IF(E85="&lt;=",IF(J85&lt;=G85,"PASS","FAIL"),IF(J85=F85,"PASS","FAIL"))))))))</x:f>
        <x:v>NOT RUN</x:v>
      </x:c>
      <x:c r="L85" s="7" t="str">
        <x:v>Mohammad</x:v>
      </x:c>
      <x:c r="M85" s="7" t="str"/>
      <x:c r="N85" s="7" t="str">
        <x:v>Admission also checks every applicable threshold, not merely test execution count.</x:v>
      </x:c>
    </x:row>
    <x:row r="86" ht="60" customHeight="1">
      <x:c r="A86" s="7" t="str">
        <x:v>REG-E3</x:v>
      </x:c>
      <x:c r="B86" s="7" t="str">
        <x:v>S0-S5 x five with selected flag(s)</x:v>
      </x:c>
      <x:c r="C86" s="7" t="str">
        <x:v>Passing baseline trials</x:v>
      </x:c>
      <x:c r="D86" s="7" t="str">
        <x:v>count</x:v>
      </x:c>
      <x:c r="E86" s="7" t="str">
        <x:v>&gt;=</x:v>
      </x:c>
      <x:c r="F86" s="25" t="n">
        <x:v>30</x:v>
      </x:c>
      <x:c r="G86" s="25"/>
      <x:c r="H86" s="27" t="n">
        <x:v>30</x:v>
      </x:c>
      <x:c r="I86" s="28" t="n">
        <x:v>0</x:v>
      </x:c>
      <x:c r="J86" s="26"/>
      <x:c r="K86" s="7" t="str">
        <x:f>IF(E86="N/A","N/A",IF(I86=0,"NOT RUN",IF(I86&lt;H86,"INCOMPLETE",IF(ISBLANK(J86),"NO RESULT",IF(E86="report","REPORTED",IF(E86="&gt;=",IF(J86&gt;=F86,"PASS","FAIL"),IF(E86="&lt;=",IF(J86&lt;=G86,"PASS","FAIL"),IF(J86=F86,"PASS","FAIL"))))))))</x:f>
        <x:v>NOT RUN</x:v>
      </x:c>
      <x:c r="L86" s="7" t="str">
        <x:v>Mohammad</x:v>
      </x:c>
      <x:c r="M86" s="7" t="str"/>
      <x:c r="N86" s="7" t="str">
        <x:v>Admission also checks every applicable threshold, not merely test execution count.</x:v>
      </x:c>
    </x:row>
    <x:row r="87" ht="60" customHeight="1">
      <x:c r="A87" s="7" t="str">
        <x:v>REG-E4</x:v>
      </x:c>
      <x:c r="B87" s="7" t="str">
        <x:v>S0-S5 x five with selected flag(s)</x:v>
      </x:c>
      <x:c r="C87" s="7" t="str">
        <x:v>Passing baseline trials</x:v>
      </x:c>
      <x:c r="D87" s="7" t="str">
        <x:v>count</x:v>
      </x:c>
      <x:c r="E87" s="7" t="str">
        <x:v>&gt;=</x:v>
      </x:c>
      <x:c r="F87" s="25" t="n">
        <x:v>30</x:v>
      </x:c>
      <x:c r="G87" s="25"/>
      <x:c r="H87" s="27" t="n">
        <x:v>30</x:v>
      </x:c>
      <x:c r="I87" s="28" t="n">
        <x:v>0</x:v>
      </x:c>
      <x:c r="J87" s="26"/>
      <x:c r="K87" s="7" t="str">
        <x:f>IF(E87="N/A","N/A",IF(I87=0,"NOT RUN",IF(I87&lt;H87,"INCOMPLETE",IF(ISBLANK(J87),"NO RESULT",IF(E87="report","REPORTED",IF(E87="&gt;=",IF(J87&gt;=F87,"PASS","FAIL"),IF(E87="&lt;=",IF(J87&lt;=G87,"PASS","FAIL"),IF(J87=F87,"PASS","FAIL"))))))))</x:f>
        <x:v>NOT RUN</x:v>
      </x:c>
      <x:c r="L87" s="7" t="str">
        <x:v>Mohammad</x:v>
      </x:c>
      <x:c r="M87" s="7" t="str"/>
      <x:c r="N87" s="7" t="str">
        <x:v>Admission also checks every applicable threshold, not merely test execution count.</x:v>
      </x:c>
    </x:row>
    <x:row r="88" ht="60" customHeight="1">
      <x:c r="A88" s="7" t="str">
        <x:v>REG-E5</x:v>
      </x:c>
      <x:c r="B88" s="7" t="str">
        <x:v>S0-S5 x five with selected flag(s)</x:v>
      </x:c>
      <x:c r="C88" s="7" t="str">
        <x:v>Passing baseline trials</x:v>
      </x:c>
      <x:c r="D88" s="7" t="str">
        <x:v>count</x:v>
      </x:c>
      <x:c r="E88" s="7" t="str">
        <x:v>&gt;=</x:v>
      </x:c>
      <x:c r="F88" s="25" t="n">
        <x:v>30</x:v>
      </x:c>
      <x:c r="G88" s="25"/>
      <x:c r="H88" s="27" t="n">
        <x:v>30</x:v>
      </x:c>
      <x:c r="I88" s="28" t="n">
        <x:v>0</x:v>
      </x:c>
      <x:c r="J88" s="26"/>
      <x:c r="K88" s="7" t="str">
        <x:f>IF(E88="N/A","N/A",IF(I88=0,"NOT RUN",IF(I88&lt;H88,"INCOMPLETE",IF(ISBLANK(J88),"NO RESULT",IF(E88="report","REPORTED",IF(E88="&gt;=",IF(J88&gt;=F88,"PASS","FAIL"),IF(E88="&lt;=",IF(J88&lt;=G88,"PASS","FAIL"),IF(J88=F88,"PASS","FAIL"))))))))</x:f>
        <x:v>NOT RUN</x:v>
      </x:c>
      <x:c r="L88" s="7" t="str">
        <x:v>Mohammad</x:v>
      </x:c>
      <x:c r="M88" s="7" t="str"/>
      <x:c r="N88" s="7" t="str">
        <x:v>Admission also checks every applicable threshold, not merely test execution count.</x:v>
      </x:c>
    </x:row>
    <x:row r="89" ht="60" customHeight="1">
      <x:c r="A89" s="7" t="str">
        <x:v>REG-COMBINED</x:v>
      </x:c>
      <x:c r="B89" s="7" t="str">
        <x:v>S0-S5 x five with selected flag(s)</x:v>
      </x:c>
      <x:c r="C89" s="7" t="str">
        <x:v>Passing baseline trials</x:v>
      </x:c>
      <x:c r="D89" s="7" t="str">
        <x:v>count</x:v>
      </x:c>
      <x:c r="E89" s="7" t="str">
        <x:v>&gt;=</x:v>
      </x:c>
      <x:c r="F89" s="25" t="n">
        <x:v>30</x:v>
      </x:c>
      <x:c r="G89" s="25"/>
      <x:c r="H89" s="27" t="n">
        <x:v>30</x:v>
      </x:c>
      <x:c r="I89" s="28" t="n">
        <x:v>0</x:v>
      </x:c>
      <x:c r="J89" s="26"/>
      <x:c r="K89" s="7" t="str">
        <x:f>IF(E89="N/A","N/A",IF(I89=0,"NOT RUN",IF(I89&lt;H89,"INCOMPLETE",IF(ISBLANK(J89),"NO RESULT",IF(E89="report","REPORTED",IF(E89="&gt;=",IF(J89&gt;=F89,"PASS","FAIL"),IF(E89="&lt;=",IF(J89&lt;=G89,"PASS","FAIL"),IF(J89=F89,"PASS","FAIL"))))))))</x:f>
        <x:v>NOT RUN</x:v>
      </x:c>
      <x:c r="L89" s="7" t="str">
        <x:v>Mohammad</x:v>
      </x:c>
      <x:c r="M89" s="7" t="str"/>
      <x:c r="N89" s="7" t="str">
        <x:v>Admission also checks every applicable threshold, not merely test execution count.</x:v>
      </x:c>
    </x:row>
  </x:sheetData>
  <x:conditionalFormatting sqref="K2:K89">
    <x:cfRule type="expression" dxfId="8" priority="1">
      <x:formula>$K2="FAIL"</x:formula>
    </x:cfRule>
    <x:cfRule type="expression" dxfId="9" priority="2">
      <x:formula>OR($K2="NOT RUN",$K2="NO RESULT",$K2="INCOMPLETE")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f7f723951844ed4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5" hidden="0" customWidth="1"/>
    <x:col min="3" max="3" width="15" hidden="0" customWidth="1"/>
    <x:col min="4" max="4" width="17" hidden="0" customWidth="1"/>
    <x:col min="5" max="5" width="15" hidden="0" customWidth="1"/>
    <x:col min="6" max="6" width="16" hidden="0" customWidth="1"/>
    <x:col min="7" max="7" width="18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2" customHeight="1">
      <x:c r="A1" s="6" t="str">
        <x:v>Task ID</x:v>
      </x:c>
      <x:c r="B1" s="6" t="str">
        <x:v>Current dependency IDs</x:v>
      </x:c>
      <x:c r="C1" s="6" t="str">
        <x:v>Start</x:v>
      </x:c>
      <x:c r="D1" s="6" t="str">
        <x:v>Dependency count</x:v>
      </x:c>
      <x:c r="E1" s="6" t="str">
        <x:v>Latest due</x:v>
      </x:c>
      <x:c r="F1" s="6" t="str">
        <x:v>Bad ID count</x:v>
      </x:c>
      <x:c r="G1" s="6" t="str">
        <x:v>Check</x:v>
      </x:c>
      <x:c r="H1" s="6" t="str">
        <x:v>Dependency 1</x:v>
      </x:c>
      <x:c r="I1" s="6" t="str">
        <x:v>Dependency 2</x:v>
      </x:c>
      <x:c r="J1" s="6" t="str">
        <x:v>Dependency 3</x:v>
      </x:c>
      <x:c r="K1" s="6" t="str">
        <x:v>Dependency 4</x:v>
      </x:c>
      <x:c r="L1" s="6" t="str">
        <x:v>Dependency 5</x:v>
      </x:c>
      <x:c r="M1" s="6" t="str">
        <x:v>Dependency 6</x:v>
      </x:c>
      <x:c r="N1" s="6" t="str">
        <x:v>Dependency 7</x:v>
      </x:c>
      <x:c r="O1" s="6" t="str">
        <x:v>Dependency 8</x:v>
      </x:c>
      <x:c r="P1" s="6" t="str">
        <x:v>Due 1</x:v>
      </x:c>
      <x:c r="Q1" s="6" t="str">
        <x:v>Due 2</x:v>
      </x:c>
      <x:c r="R1" s="6" t="str">
        <x:v>Due 3</x:v>
      </x:c>
      <x:c r="S1" s="6" t="str">
        <x:v>Due 4</x:v>
      </x:c>
      <x:c r="T1" s="6" t="str">
        <x:v>Due 5</x:v>
      </x:c>
      <x:c r="U1" s="6" t="str">
        <x:v>Due 6</x:v>
      </x:c>
      <x:c r="V1" s="6" t="str">
        <x:v>Due 7</x:v>
      </x:c>
      <x:c r="W1" s="6" t="str">
        <x:v>Due 8</x:v>
      </x:c>
    </x:row>
    <x:row r="2" ht="28" customHeight="1">
      <x:c r="A2" s="2" t="str">
        <x:v>PROC-01</x:v>
      </x:c>
      <x:c r="B2" s="2" t="str">
        <x:f>IF(VLOOKUP(A2,'Tasks'!$A$2:$X$224,15,FALSE)="","",VLOOKUP(A2,'Tasks'!$A$2:$X$224,15,FALSE))</x:f>
      </x:c>
      <x:c r="C2" s="13" t="n">
        <x:f>VLOOKUP(A2,'Tasks'!$A$2:$X$224,12,FALSE)</x:f>
        <x:v>46307</x:v>
      </x:c>
      <x:c r="D2" s="2" t="n">
        <x:f>IF(B2="",0,LEN(B2)-LEN(SUBSTITUTE(B2,",",""))+1)</x:f>
        <x:v>0</x:v>
      </x:c>
      <x:c r="E2" s="14" t="n">
        <x:f>MAX(P2:W2)</x:f>
        <x:v>0</x:v>
      </x:c>
      <x:c r="F2" s="2" t="n">
        <x:f>COUNTIFS(P2:W2,"BAD ID")</x:f>
        <x:v>0</x:v>
      </x:c>
      <x:c r="G2" s="2" t="str">
        <x:f>IF(D2&gt;8,"TOO MANY",IF(F2&gt;0,"BAD ID",IF(C2&gt;=E2,"OK","LATE")))</x:f>
        <x:v>OK</x:v>
      </x:c>
      <x:c r="H2" s="2" t="str">
        <x:f>TRIM(MID(SUBSTITUTE($B2,",",REPT(" ",100)),1,100))</x:f>
      </x:c>
      <x:c r="I2" s="2" t="str">
        <x:f>TRIM(MID(SUBSTITUTE($B2,",",REPT(" ",100)),101,100))</x:f>
      </x:c>
      <x:c r="J2" s="2" t="str">
        <x:f>TRIM(MID(SUBSTITUTE($B2,",",REPT(" ",100)),201,100))</x:f>
      </x:c>
      <x:c r="K2" s="2" t="str">
        <x:f>TRIM(MID(SUBSTITUTE($B2,",",REPT(" ",100)),301,100))</x:f>
      </x:c>
      <x:c r="L2" s="2" t="str">
        <x:f>TRIM(MID(SUBSTITUTE($B2,",",REPT(" ",100)),401,100))</x:f>
      </x:c>
      <x:c r="M2" s="2" t="str">
        <x:f>TRIM(MID(SUBSTITUTE($B2,",",REPT(" ",100)),501,100))</x:f>
      </x:c>
      <x:c r="N2" s="2" t="str">
        <x:f>TRIM(MID(SUBSTITUTE($B2,",",REPT(" ",100)),601,100))</x:f>
      </x:c>
      <x:c r="O2" s="2" t="str">
        <x:f>TRIM(MID(SUBSTITUTE($B2,",",REPT(" ",100)),701,100))</x:f>
      </x:c>
      <x:c r="P2" s="14" t="n">
        <x:f>IF(H2="",0,IF(COUNTIFS('Tasks'!$A$2:$A$224,H2)=1,INDEX('Tasks'!$M$2:$M$224,MATCH(H2,'Tasks'!$A$2:$A$224,0)),"BAD ID"))</x:f>
        <x:v>0</x:v>
      </x:c>
      <x:c r="Q2" s="14" t="n">
        <x:f>IF(I2="",0,IF(COUNTIFS('Tasks'!$A$2:$A$224,I2)=1,INDEX('Tasks'!$M$2:$M$224,MATCH(I2,'Tasks'!$A$2:$A$224,0)),"BAD ID"))</x:f>
        <x:v>0</x:v>
      </x:c>
      <x:c r="R2" s="14" t="n">
        <x:f>IF(J2="",0,IF(COUNTIFS('Tasks'!$A$2:$A$224,J2)=1,INDEX('Tasks'!$M$2:$M$224,MATCH(J2,'Tasks'!$A$2:$A$224,0)),"BAD ID"))</x:f>
        <x:v>0</x:v>
      </x:c>
      <x:c r="S2" s="14" t="n">
        <x:f>IF(K2="",0,IF(COUNTIFS('Tasks'!$A$2:$A$224,K2)=1,INDEX('Tasks'!$M$2:$M$224,MATCH(K2,'Tasks'!$A$2:$A$224,0)),"BAD ID"))</x:f>
        <x:v>0</x:v>
      </x:c>
      <x:c r="T2" s="14" t="n">
        <x:f>IF(L2="",0,IF(COUNTIFS('Tasks'!$A$2:$A$224,L2)=1,INDEX('Tasks'!$M$2:$M$224,MATCH(L2,'Tasks'!$A$2:$A$224,0)),"BAD ID"))</x:f>
        <x:v>0</x:v>
      </x:c>
      <x:c r="U2" s="14" t="n">
        <x:f>IF(M2="",0,IF(COUNTIFS('Tasks'!$A$2:$A$224,M2)=1,INDEX('Tasks'!$M$2:$M$224,MATCH(M2,'Tasks'!$A$2:$A$224,0)),"BAD ID"))</x:f>
        <x:v>0</x:v>
      </x:c>
      <x:c r="V2" s="14" t="n">
        <x:f>IF(N2="",0,IF(COUNTIFS('Tasks'!$A$2:$A$224,N2)=1,INDEX('Tasks'!$M$2:$M$224,MATCH(N2,'Tasks'!$A$2:$A$224,0)),"BAD ID"))</x:f>
        <x:v>0</x:v>
      </x:c>
      <x:c r="W2" s="14" t="n">
        <x:f>IF(O2="",0,IF(COUNTIFS('Tasks'!$A$2:$A$224,O2)=1,INDEX('Tasks'!$M$2:$M$224,MATCH(O2,'Tasks'!$A$2:$A$224,0)),"BAD ID"))</x:f>
        <x:v>0</x:v>
      </x:c>
    </x:row>
    <x:row r="3" ht="28" customHeight="1">
      <x:c r="A3" s="2" t="str">
        <x:v>PROC-02</x:v>
      </x:c>
      <x:c r="B3" s="2" t="str">
        <x:f>IF(VLOOKUP(A3,'Tasks'!$A$2:$X$224,15,FALSE)="","",VLOOKUP(A3,'Tasks'!$A$2:$X$224,15,FALSE))</x:f>
      </x:c>
      <x:c r="C3" s="13" t="n">
        <x:f>VLOOKUP(A3,'Tasks'!$A$2:$X$224,12,FALSE)</x:f>
        <x:v>46307</x:v>
      </x:c>
      <x:c r="D3" s="2" t="n">
        <x:f>IF(B3="",0,LEN(B3)-LEN(SUBSTITUTE(B3,",",""))+1)</x:f>
        <x:v>0</x:v>
      </x:c>
      <x:c r="E3" s="14" t="n">
        <x:f>MAX(P3:W3)</x:f>
        <x:v>0</x:v>
      </x:c>
      <x:c r="F3" s="2" t="n">
        <x:f>COUNTIFS(P3:W3,"BAD ID")</x:f>
        <x:v>0</x:v>
      </x:c>
      <x:c r="G3" s="2" t="str">
        <x:f>IF(D3&gt;8,"TOO MANY",IF(F3&gt;0,"BAD ID",IF(C3&gt;=E3,"OK","LATE")))</x:f>
        <x:v>OK</x:v>
      </x:c>
      <x:c r="H3" s="2" t="str">
        <x:f>TRIM(MID(SUBSTITUTE($B3,",",REPT(" ",100)),1,100))</x:f>
      </x:c>
      <x:c r="I3" s="2" t="str">
        <x:f>TRIM(MID(SUBSTITUTE($B3,",",REPT(" ",100)),101,100))</x:f>
      </x:c>
      <x:c r="J3" s="2" t="str">
        <x:f>TRIM(MID(SUBSTITUTE($B3,",",REPT(" ",100)),201,100))</x:f>
      </x:c>
      <x:c r="K3" s="2" t="str">
        <x:f>TRIM(MID(SUBSTITUTE($B3,",",REPT(" ",100)),301,100))</x:f>
      </x:c>
      <x:c r="L3" s="2" t="str">
        <x:f>TRIM(MID(SUBSTITUTE($B3,",",REPT(" ",100)),401,100))</x:f>
      </x:c>
      <x:c r="M3" s="2" t="str">
        <x:f>TRIM(MID(SUBSTITUTE($B3,",",REPT(" ",100)),501,100))</x:f>
      </x:c>
      <x:c r="N3" s="2" t="str">
        <x:f>TRIM(MID(SUBSTITUTE($B3,",",REPT(" ",100)),601,100))</x:f>
      </x:c>
      <x:c r="O3" s="2" t="str">
        <x:f>TRIM(MID(SUBSTITUTE($B3,",",REPT(" ",100)),701,100))</x:f>
      </x:c>
      <x:c r="P3" s="14" t="n">
        <x:f>IF(H3="",0,IF(COUNTIFS('Tasks'!$A$2:$A$224,H3)=1,INDEX('Tasks'!$M$2:$M$224,MATCH(H3,'Tasks'!$A$2:$A$224,0)),"BAD ID"))</x:f>
        <x:v>0</x:v>
      </x:c>
      <x:c r="Q3" s="14" t="n">
        <x:f>IF(I3="",0,IF(COUNTIFS('Tasks'!$A$2:$A$224,I3)=1,INDEX('Tasks'!$M$2:$M$224,MATCH(I3,'Tasks'!$A$2:$A$224,0)),"BAD ID"))</x:f>
        <x:v>0</x:v>
      </x:c>
      <x:c r="R3" s="14" t="n">
        <x:f>IF(J3="",0,IF(COUNTIFS('Tasks'!$A$2:$A$224,J3)=1,INDEX('Tasks'!$M$2:$M$224,MATCH(J3,'Tasks'!$A$2:$A$224,0)),"BAD ID"))</x:f>
        <x:v>0</x:v>
      </x:c>
      <x:c r="S3" s="14" t="n">
        <x:f>IF(K3="",0,IF(COUNTIFS('Tasks'!$A$2:$A$224,K3)=1,INDEX('Tasks'!$M$2:$M$224,MATCH(K3,'Tasks'!$A$2:$A$224,0)),"BAD ID"))</x:f>
        <x:v>0</x:v>
      </x:c>
      <x:c r="T3" s="14" t="n">
        <x:f>IF(L3="",0,IF(COUNTIFS('Tasks'!$A$2:$A$224,L3)=1,INDEX('Tasks'!$M$2:$M$224,MATCH(L3,'Tasks'!$A$2:$A$224,0)),"BAD ID"))</x:f>
        <x:v>0</x:v>
      </x:c>
      <x:c r="U3" s="14" t="n">
        <x:f>IF(M3="",0,IF(COUNTIFS('Tasks'!$A$2:$A$224,M3)=1,INDEX('Tasks'!$M$2:$M$224,MATCH(M3,'Tasks'!$A$2:$A$224,0)),"BAD ID"))</x:f>
        <x:v>0</x:v>
      </x:c>
      <x:c r="V3" s="14" t="n">
        <x:f>IF(N3="",0,IF(COUNTIFS('Tasks'!$A$2:$A$224,N3)=1,INDEX('Tasks'!$M$2:$M$224,MATCH(N3,'Tasks'!$A$2:$A$224,0)),"BAD ID"))</x:f>
        <x:v>0</x:v>
      </x:c>
      <x:c r="W3" s="14" t="n">
        <x:f>IF(O3="",0,IF(COUNTIFS('Tasks'!$A$2:$A$224,O3)=1,INDEX('Tasks'!$M$2:$M$224,MATCH(O3,'Tasks'!$A$2:$A$224,0)),"BAD ID"))</x:f>
        <x:v>0</x:v>
      </x:c>
    </x:row>
    <x:row r="4" ht="28" customHeight="1">
      <x:c r="A4" s="2" t="str">
        <x:v>PROC-03</x:v>
      </x:c>
      <x:c r="B4" s="2" t="str">
        <x:f>IF(VLOOKUP(A4,'Tasks'!$A$2:$X$224,15,FALSE)="","",VLOOKUP(A4,'Tasks'!$A$2:$X$224,15,FALSE))</x:f>
        <x:v>PROC-01</x:v>
      </x:c>
      <x:c r="C4" s="13" t="n">
        <x:f>VLOOKUP(A4,'Tasks'!$A$2:$X$224,12,FALSE)</x:f>
        <x:v>46308</x:v>
      </x:c>
      <x:c r="D4" s="2" t="n">
        <x:f>IF(B4="",0,LEN(B4)-LEN(SUBSTITUTE(B4,",",""))+1)</x:f>
        <x:v>1</x:v>
      </x:c>
      <x:c r="E4" s="14" t="n">
        <x:f>MAX(P4:W4)</x:f>
        <x:v>46307</x:v>
      </x:c>
      <x:c r="F4" s="2" t="n">
        <x:f>COUNTIFS(P4:W4,"BAD ID")</x:f>
        <x:v>0</x:v>
      </x:c>
      <x:c r="G4" s="2" t="str">
        <x:f>IF(D4&gt;8,"TOO MANY",IF(F4&gt;0,"BAD ID",IF(C4&gt;=E4,"OK","LATE")))</x:f>
        <x:v>OK</x:v>
      </x:c>
      <x:c r="H4" s="2" t="str">
        <x:f>TRIM(MID(SUBSTITUTE($B4,",",REPT(" ",100)),1,100))</x:f>
        <x:v>PROC-01</x:v>
      </x:c>
      <x:c r="I4" s="2" t="str">
        <x:f>TRIM(MID(SUBSTITUTE($B4,",",REPT(" ",100)),101,100))</x:f>
      </x:c>
      <x:c r="J4" s="2" t="str">
        <x:f>TRIM(MID(SUBSTITUTE($B4,",",REPT(" ",100)),201,100))</x:f>
      </x:c>
      <x:c r="K4" s="2" t="str">
        <x:f>TRIM(MID(SUBSTITUTE($B4,",",REPT(" ",100)),301,100))</x:f>
      </x:c>
      <x:c r="L4" s="2" t="str">
        <x:f>TRIM(MID(SUBSTITUTE($B4,",",REPT(" ",100)),401,100))</x:f>
      </x:c>
      <x:c r="M4" s="2" t="str">
        <x:f>TRIM(MID(SUBSTITUTE($B4,",",REPT(" ",100)),501,100))</x:f>
      </x:c>
      <x:c r="N4" s="2" t="str">
        <x:f>TRIM(MID(SUBSTITUTE($B4,",",REPT(" ",100)),601,100))</x:f>
      </x:c>
      <x:c r="O4" s="2" t="str">
        <x:f>TRIM(MID(SUBSTITUTE($B4,",",REPT(" ",100)),701,100))</x:f>
      </x:c>
      <x:c r="P4" s="14" t="n">
        <x:f>IF(H4="",0,IF(COUNTIFS('Tasks'!$A$2:$A$224,H4)=1,INDEX('Tasks'!$M$2:$M$224,MATCH(H4,'Tasks'!$A$2:$A$224,0)),"BAD ID"))</x:f>
        <x:v>46307</x:v>
      </x:c>
      <x:c r="Q4" s="14" t="n">
        <x:f>IF(I4="",0,IF(COUNTIFS('Tasks'!$A$2:$A$224,I4)=1,INDEX('Tasks'!$M$2:$M$224,MATCH(I4,'Tasks'!$A$2:$A$224,0)),"BAD ID"))</x:f>
        <x:v>0</x:v>
      </x:c>
      <x:c r="R4" s="14" t="n">
        <x:f>IF(J4="",0,IF(COUNTIFS('Tasks'!$A$2:$A$224,J4)=1,INDEX('Tasks'!$M$2:$M$224,MATCH(J4,'Tasks'!$A$2:$A$224,0)),"BAD ID"))</x:f>
        <x:v>0</x:v>
      </x:c>
      <x:c r="S4" s="14" t="n">
        <x:f>IF(K4="",0,IF(COUNTIFS('Tasks'!$A$2:$A$224,K4)=1,INDEX('Tasks'!$M$2:$M$224,MATCH(K4,'Tasks'!$A$2:$A$224,0)),"BAD ID"))</x:f>
        <x:v>0</x:v>
      </x:c>
      <x:c r="T4" s="14" t="n">
        <x:f>IF(L4="",0,IF(COUNTIFS('Tasks'!$A$2:$A$224,L4)=1,INDEX('Tasks'!$M$2:$M$224,MATCH(L4,'Tasks'!$A$2:$A$224,0)),"BAD ID"))</x:f>
        <x:v>0</x:v>
      </x:c>
      <x:c r="U4" s="14" t="n">
        <x:f>IF(M4="",0,IF(COUNTIFS('Tasks'!$A$2:$A$224,M4)=1,INDEX('Tasks'!$M$2:$M$224,MATCH(M4,'Tasks'!$A$2:$A$224,0)),"BAD ID"))</x:f>
        <x:v>0</x:v>
      </x:c>
      <x:c r="V4" s="14" t="n">
        <x:f>IF(N4="",0,IF(COUNTIFS('Tasks'!$A$2:$A$224,N4)=1,INDEX('Tasks'!$M$2:$M$224,MATCH(N4,'Tasks'!$A$2:$A$224,0)),"BAD ID"))</x:f>
        <x:v>0</x:v>
      </x:c>
      <x:c r="W4" s="14" t="n">
        <x:f>IF(O4="",0,IF(COUNTIFS('Tasks'!$A$2:$A$224,O4)=1,INDEX('Tasks'!$M$2:$M$224,MATCH(O4,'Tasks'!$A$2:$A$224,0)),"BAD ID"))</x:f>
        <x:v>0</x:v>
      </x:c>
    </x:row>
    <x:row r="5" ht="28" customHeight="1">
      <x:c r="A5" s="2" t="str">
        <x:v>RV-01</x:v>
      </x:c>
      <x:c r="B5" s="2" t="str">
        <x:f>IF(VLOOKUP(A5,'Tasks'!$A$2:$X$224,15,FALSE)="","",VLOOKUP(A5,'Tasks'!$A$2:$X$224,15,FALSE))</x:f>
      </x:c>
      <x:c r="C5" s="13" t="n">
        <x:f>VLOOKUP(A5,'Tasks'!$A$2:$X$224,12,FALSE)</x:f>
        <x:v>46307</x:v>
      </x:c>
      <x:c r="D5" s="2" t="n">
        <x:f>IF(B5="",0,LEN(B5)-LEN(SUBSTITUTE(B5,",",""))+1)</x:f>
        <x:v>0</x:v>
      </x:c>
      <x:c r="E5" s="14" t="n">
        <x:f>MAX(P5:W5)</x:f>
        <x:v>0</x:v>
      </x:c>
      <x:c r="F5" s="2" t="n">
        <x:f>COUNTIFS(P5:W5,"BAD ID")</x:f>
        <x:v>0</x:v>
      </x:c>
      <x:c r="G5" s="2" t="str">
        <x:f>IF(D5&gt;8,"TOO MANY",IF(F5&gt;0,"BAD ID",IF(C5&gt;=E5,"OK","LATE")))</x:f>
        <x:v>OK</x:v>
      </x:c>
      <x:c r="H5" s="2" t="str">
        <x:f>TRIM(MID(SUBSTITUTE($B5,",",REPT(" ",100)),1,100))</x:f>
      </x:c>
      <x:c r="I5" s="2" t="str">
        <x:f>TRIM(MID(SUBSTITUTE($B5,",",REPT(" ",100)),101,100))</x:f>
      </x:c>
      <x:c r="J5" s="2" t="str">
        <x:f>TRIM(MID(SUBSTITUTE($B5,",",REPT(" ",100)),201,100))</x:f>
      </x:c>
      <x:c r="K5" s="2" t="str">
        <x:f>TRIM(MID(SUBSTITUTE($B5,",",REPT(" ",100)),301,100))</x:f>
      </x:c>
      <x:c r="L5" s="2" t="str">
        <x:f>TRIM(MID(SUBSTITUTE($B5,",",REPT(" ",100)),401,100))</x:f>
      </x:c>
      <x:c r="M5" s="2" t="str">
        <x:f>TRIM(MID(SUBSTITUTE($B5,",",REPT(" ",100)),501,100))</x:f>
      </x:c>
      <x:c r="N5" s="2" t="str">
        <x:f>TRIM(MID(SUBSTITUTE($B5,",",REPT(" ",100)),601,100))</x:f>
      </x:c>
      <x:c r="O5" s="2" t="str">
        <x:f>TRIM(MID(SUBSTITUTE($B5,",",REPT(" ",100)),701,100))</x:f>
      </x:c>
      <x:c r="P5" s="14" t="n">
        <x:f>IF(H5="",0,IF(COUNTIFS('Tasks'!$A$2:$A$224,H5)=1,INDEX('Tasks'!$M$2:$M$224,MATCH(H5,'Tasks'!$A$2:$A$224,0)),"BAD ID"))</x:f>
        <x:v>0</x:v>
      </x:c>
      <x:c r="Q5" s="14" t="n">
        <x:f>IF(I5="",0,IF(COUNTIFS('Tasks'!$A$2:$A$224,I5)=1,INDEX('Tasks'!$M$2:$M$224,MATCH(I5,'Tasks'!$A$2:$A$224,0)),"BAD ID"))</x:f>
        <x:v>0</x:v>
      </x:c>
      <x:c r="R5" s="14" t="n">
        <x:f>IF(J5="",0,IF(COUNTIFS('Tasks'!$A$2:$A$224,J5)=1,INDEX('Tasks'!$M$2:$M$224,MATCH(J5,'Tasks'!$A$2:$A$224,0)),"BAD ID"))</x:f>
        <x:v>0</x:v>
      </x:c>
      <x:c r="S5" s="14" t="n">
        <x:f>IF(K5="",0,IF(COUNTIFS('Tasks'!$A$2:$A$224,K5)=1,INDEX('Tasks'!$M$2:$M$224,MATCH(K5,'Tasks'!$A$2:$A$224,0)),"BAD ID"))</x:f>
        <x:v>0</x:v>
      </x:c>
      <x:c r="T5" s="14" t="n">
        <x:f>IF(L5="",0,IF(COUNTIFS('Tasks'!$A$2:$A$224,L5)=1,INDEX('Tasks'!$M$2:$M$224,MATCH(L5,'Tasks'!$A$2:$A$224,0)),"BAD ID"))</x:f>
        <x:v>0</x:v>
      </x:c>
      <x:c r="U5" s="14" t="n">
        <x:f>IF(M5="",0,IF(COUNTIFS('Tasks'!$A$2:$A$224,M5)=1,INDEX('Tasks'!$M$2:$M$224,MATCH(M5,'Tasks'!$A$2:$A$224,0)),"BAD ID"))</x:f>
        <x:v>0</x:v>
      </x:c>
      <x:c r="V5" s="14" t="n">
        <x:f>IF(N5="",0,IF(COUNTIFS('Tasks'!$A$2:$A$224,N5)=1,INDEX('Tasks'!$M$2:$M$224,MATCH(N5,'Tasks'!$A$2:$A$224,0)),"BAD ID"))</x:f>
        <x:v>0</x:v>
      </x:c>
      <x:c r="W5" s="14" t="n">
        <x:f>IF(O5="",0,IF(COUNTIFS('Tasks'!$A$2:$A$224,O5)=1,INDEX('Tasks'!$M$2:$M$224,MATCH(O5,'Tasks'!$A$2:$A$224,0)),"BAD ID"))</x:f>
        <x:v>0</x:v>
      </x:c>
    </x:row>
    <x:row r="6" ht="28" customHeight="1">
      <x:c r="A6" s="2" t="str">
        <x:v>RV-02</x:v>
      </x:c>
      <x:c r="B6" s="2" t="str">
        <x:f>IF(VLOOKUP(A6,'Tasks'!$A$2:$X$224,15,FALSE)="","",VLOOKUP(A6,'Tasks'!$A$2:$X$224,15,FALSE))</x:f>
      </x:c>
      <x:c r="C6" s="13" t="n">
        <x:f>VLOOKUP(A6,'Tasks'!$A$2:$X$224,12,FALSE)</x:f>
        <x:v>46307</x:v>
      </x:c>
      <x:c r="D6" s="2" t="n">
        <x:f>IF(B6="",0,LEN(B6)-LEN(SUBSTITUTE(B6,",",""))+1)</x:f>
        <x:v>0</x:v>
      </x:c>
      <x:c r="E6" s="14" t="n">
        <x:f>MAX(P6:W6)</x:f>
        <x:v>0</x:v>
      </x:c>
      <x:c r="F6" s="2" t="n">
        <x:f>COUNTIFS(P6:W6,"BAD ID")</x:f>
        <x:v>0</x:v>
      </x:c>
      <x:c r="G6" s="2" t="str">
        <x:f>IF(D6&gt;8,"TOO MANY",IF(F6&gt;0,"BAD ID",IF(C6&gt;=E6,"OK","LATE")))</x:f>
        <x:v>OK</x:v>
      </x:c>
      <x:c r="H6" s="2" t="str">
        <x:f>TRIM(MID(SUBSTITUTE($B6,",",REPT(" ",100)),1,100))</x:f>
      </x:c>
      <x:c r="I6" s="2" t="str">
        <x:f>TRIM(MID(SUBSTITUTE($B6,",",REPT(" ",100)),101,100))</x:f>
      </x:c>
      <x:c r="J6" s="2" t="str">
        <x:f>TRIM(MID(SUBSTITUTE($B6,",",REPT(" ",100)),201,100))</x:f>
      </x:c>
      <x:c r="K6" s="2" t="str">
        <x:f>TRIM(MID(SUBSTITUTE($B6,",",REPT(" ",100)),301,100))</x:f>
      </x:c>
      <x:c r="L6" s="2" t="str">
        <x:f>TRIM(MID(SUBSTITUTE($B6,",",REPT(" ",100)),401,100))</x:f>
      </x:c>
      <x:c r="M6" s="2" t="str">
        <x:f>TRIM(MID(SUBSTITUTE($B6,",",REPT(" ",100)),501,100))</x:f>
      </x:c>
      <x:c r="N6" s="2" t="str">
        <x:f>TRIM(MID(SUBSTITUTE($B6,",",REPT(" ",100)),601,100))</x:f>
      </x:c>
      <x:c r="O6" s="2" t="str">
        <x:f>TRIM(MID(SUBSTITUTE($B6,",",REPT(" ",100)),701,100))</x:f>
      </x:c>
      <x:c r="P6" s="14" t="n">
        <x:f>IF(H6="",0,IF(COUNTIFS('Tasks'!$A$2:$A$224,H6)=1,INDEX('Tasks'!$M$2:$M$224,MATCH(H6,'Tasks'!$A$2:$A$224,0)),"BAD ID"))</x:f>
        <x:v>0</x:v>
      </x:c>
      <x:c r="Q6" s="14" t="n">
        <x:f>IF(I6="",0,IF(COUNTIFS('Tasks'!$A$2:$A$224,I6)=1,INDEX('Tasks'!$M$2:$M$224,MATCH(I6,'Tasks'!$A$2:$A$224,0)),"BAD ID"))</x:f>
        <x:v>0</x:v>
      </x:c>
      <x:c r="R6" s="14" t="n">
        <x:f>IF(J6="",0,IF(COUNTIFS('Tasks'!$A$2:$A$224,J6)=1,INDEX('Tasks'!$M$2:$M$224,MATCH(J6,'Tasks'!$A$2:$A$224,0)),"BAD ID"))</x:f>
        <x:v>0</x:v>
      </x:c>
      <x:c r="S6" s="14" t="n">
        <x:f>IF(K6="",0,IF(COUNTIFS('Tasks'!$A$2:$A$224,K6)=1,INDEX('Tasks'!$M$2:$M$224,MATCH(K6,'Tasks'!$A$2:$A$224,0)),"BAD ID"))</x:f>
        <x:v>0</x:v>
      </x:c>
      <x:c r="T6" s="14" t="n">
        <x:f>IF(L6="",0,IF(COUNTIFS('Tasks'!$A$2:$A$224,L6)=1,INDEX('Tasks'!$M$2:$M$224,MATCH(L6,'Tasks'!$A$2:$A$224,0)),"BAD ID"))</x:f>
        <x:v>0</x:v>
      </x:c>
      <x:c r="U6" s="14" t="n">
        <x:f>IF(M6="",0,IF(COUNTIFS('Tasks'!$A$2:$A$224,M6)=1,INDEX('Tasks'!$M$2:$M$224,MATCH(M6,'Tasks'!$A$2:$A$224,0)),"BAD ID"))</x:f>
        <x:v>0</x:v>
      </x:c>
      <x:c r="V6" s="14" t="n">
        <x:f>IF(N6="",0,IF(COUNTIFS('Tasks'!$A$2:$A$224,N6)=1,INDEX('Tasks'!$M$2:$M$224,MATCH(N6,'Tasks'!$A$2:$A$224,0)),"BAD ID"))</x:f>
        <x:v>0</x:v>
      </x:c>
      <x:c r="W6" s="14" t="n">
        <x:f>IF(O6="",0,IF(COUNTIFS('Tasks'!$A$2:$A$224,O6)=1,INDEX('Tasks'!$M$2:$M$224,MATCH(O6,'Tasks'!$A$2:$A$224,0)),"BAD ID"))</x:f>
        <x:v>0</x:v>
      </x:c>
    </x:row>
    <x:row r="7" ht="28" customHeight="1">
      <x:c r="A7" s="2" t="str">
        <x:v>RV-03</x:v>
      </x:c>
      <x:c r="B7" s="2" t="str">
        <x:f>IF(VLOOKUP(A7,'Tasks'!$A$2:$X$224,15,FALSE)="","",VLOOKUP(A7,'Tasks'!$A$2:$X$224,15,FALSE))</x:f>
        <x:v>RV-02</x:v>
      </x:c>
      <x:c r="C7" s="13" t="n">
        <x:f>VLOOKUP(A7,'Tasks'!$A$2:$X$224,12,FALSE)</x:f>
        <x:v>46308</x:v>
      </x:c>
      <x:c r="D7" s="2" t="n">
        <x:f>IF(B7="",0,LEN(B7)-LEN(SUBSTITUTE(B7,",",""))+1)</x:f>
        <x:v>1</x:v>
      </x:c>
      <x:c r="E7" s="14" t="n">
        <x:f>MAX(P7:W7)</x:f>
        <x:v>46307</x:v>
      </x:c>
      <x:c r="F7" s="2" t="n">
        <x:f>COUNTIFS(P7:W7,"BAD ID")</x:f>
        <x:v>0</x:v>
      </x:c>
      <x:c r="G7" s="2" t="str">
        <x:f>IF(D7&gt;8,"TOO MANY",IF(F7&gt;0,"BAD ID",IF(C7&gt;=E7,"OK","LATE")))</x:f>
        <x:v>OK</x:v>
      </x:c>
      <x:c r="H7" s="2" t="str">
        <x:f>TRIM(MID(SUBSTITUTE($B7,",",REPT(" ",100)),1,100))</x:f>
        <x:v>RV-02</x:v>
      </x:c>
      <x:c r="I7" s="2" t="str">
        <x:f>TRIM(MID(SUBSTITUTE($B7,",",REPT(" ",100)),101,100))</x:f>
      </x:c>
      <x:c r="J7" s="2" t="str">
        <x:f>TRIM(MID(SUBSTITUTE($B7,",",REPT(" ",100)),201,100))</x:f>
      </x:c>
      <x:c r="K7" s="2" t="str">
        <x:f>TRIM(MID(SUBSTITUTE($B7,",",REPT(" ",100)),301,100))</x:f>
      </x:c>
      <x:c r="L7" s="2" t="str">
        <x:f>TRIM(MID(SUBSTITUTE($B7,",",REPT(" ",100)),401,100))</x:f>
      </x:c>
      <x:c r="M7" s="2" t="str">
        <x:f>TRIM(MID(SUBSTITUTE($B7,",",REPT(" ",100)),501,100))</x:f>
      </x:c>
      <x:c r="N7" s="2" t="str">
        <x:f>TRIM(MID(SUBSTITUTE($B7,",",REPT(" ",100)),601,100))</x:f>
      </x:c>
      <x:c r="O7" s="2" t="str">
        <x:f>TRIM(MID(SUBSTITUTE($B7,",",REPT(" ",100)),701,100))</x:f>
      </x:c>
      <x:c r="P7" s="14" t="n">
        <x:f>IF(H7="",0,IF(COUNTIFS('Tasks'!$A$2:$A$224,H7)=1,INDEX('Tasks'!$M$2:$M$224,MATCH(H7,'Tasks'!$A$2:$A$224,0)),"BAD ID"))</x:f>
        <x:v>46307</x:v>
      </x:c>
      <x:c r="Q7" s="14" t="n">
        <x:f>IF(I7="",0,IF(COUNTIFS('Tasks'!$A$2:$A$224,I7)=1,INDEX('Tasks'!$M$2:$M$224,MATCH(I7,'Tasks'!$A$2:$A$224,0)),"BAD ID"))</x:f>
        <x:v>0</x:v>
      </x:c>
      <x:c r="R7" s="14" t="n">
        <x:f>IF(J7="",0,IF(COUNTIFS('Tasks'!$A$2:$A$224,J7)=1,INDEX('Tasks'!$M$2:$M$224,MATCH(J7,'Tasks'!$A$2:$A$224,0)),"BAD ID"))</x:f>
        <x:v>0</x:v>
      </x:c>
      <x:c r="S7" s="14" t="n">
        <x:f>IF(K7="",0,IF(COUNTIFS('Tasks'!$A$2:$A$224,K7)=1,INDEX('Tasks'!$M$2:$M$224,MATCH(K7,'Tasks'!$A$2:$A$224,0)),"BAD ID"))</x:f>
        <x:v>0</x:v>
      </x:c>
      <x:c r="T7" s="14" t="n">
        <x:f>IF(L7="",0,IF(COUNTIFS('Tasks'!$A$2:$A$224,L7)=1,INDEX('Tasks'!$M$2:$M$224,MATCH(L7,'Tasks'!$A$2:$A$224,0)),"BAD ID"))</x:f>
        <x:v>0</x:v>
      </x:c>
      <x:c r="U7" s="14" t="n">
        <x:f>IF(M7="",0,IF(COUNTIFS('Tasks'!$A$2:$A$224,M7)=1,INDEX('Tasks'!$M$2:$M$224,MATCH(M7,'Tasks'!$A$2:$A$224,0)),"BAD ID"))</x:f>
        <x:v>0</x:v>
      </x:c>
      <x:c r="V7" s="14" t="n">
        <x:f>IF(N7="",0,IF(COUNTIFS('Tasks'!$A$2:$A$224,N7)=1,INDEX('Tasks'!$M$2:$M$224,MATCH(N7,'Tasks'!$A$2:$A$224,0)),"BAD ID"))</x:f>
        <x:v>0</x:v>
      </x:c>
      <x:c r="W7" s="14" t="n">
        <x:f>IF(O7="",0,IF(COUNTIFS('Tasks'!$A$2:$A$224,O7)=1,INDEX('Tasks'!$M$2:$M$224,MATCH(O7,'Tasks'!$A$2:$A$224,0)),"BAD ID"))</x:f>
        <x:v>0</x:v>
      </x:c>
    </x:row>
    <x:row r="8" ht="28" customHeight="1">
      <x:c r="A8" s="2" t="str">
        <x:v>BL-F-01</x:v>
      </x:c>
      <x:c r="B8" s="2" t="str">
        <x:f>IF(VLOOKUP(A8,'Tasks'!$A$2:$X$224,15,FALSE)="","",VLOOKUP(A8,'Tasks'!$A$2:$X$224,15,FALSE))</x:f>
      </x:c>
      <x:c r="C8" s="13" t="n">
        <x:f>VLOOKUP(A8,'Tasks'!$A$2:$X$224,12,FALSE)</x:f>
        <x:v>46307</x:v>
      </x:c>
      <x:c r="D8" s="2" t="n">
        <x:f>IF(B8="",0,LEN(B8)-LEN(SUBSTITUTE(B8,",",""))+1)</x:f>
        <x:v>0</x:v>
      </x:c>
      <x:c r="E8" s="14" t="n">
        <x:f>MAX(P8:W8)</x:f>
        <x:v>0</x:v>
      </x:c>
      <x:c r="F8" s="2" t="n">
        <x:f>COUNTIFS(P8:W8,"BAD ID")</x:f>
        <x:v>0</x:v>
      </x:c>
      <x:c r="G8" s="2" t="str">
        <x:f>IF(D8&gt;8,"TOO MANY",IF(F8&gt;0,"BAD ID",IF(C8&gt;=E8,"OK","LATE")))</x:f>
        <x:v>OK</x:v>
      </x:c>
      <x:c r="H8" s="2" t="str">
        <x:f>TRIM(MID(SUBSTITUTE($B8,",",REPT(" ",100)),1,100))</x:f>
      </x:c>
      <x:c r="I8" s="2" t="str">
        <x:f>TRIM(MID(SUBSTITUTE($B8,",",REPT(" ",100)),101,100))</x:f>
      </x:c>
      <x:c r="J8" s="2" t="str">
        <x:f>TRIM(MID(SUBSTITUTE($B8,",",REPT(" ",100)),201,100))</x:f>
      </x:c>
      <x:c r="K8" s="2" t="str">
        <x:f>TRIM(MID(SUBSTITUTE($B8,",",REPT(" ",100)),301,100))</x:f>
      </x:c>
      <x:c r="L8" s="2" t="str">
        <x:f>TRIM(MID(SUBSTITUTE($B8,",",REPT(" ",100)),401,100))</x:f>
      </x:c>
      <x:c r="M8" s="2" t="str">
        <x:f>TRIM(MID(SUBSTITUTE($B8,",",REPT(" ",100)),501,100))</x:f>
      </x:c>
      <x:c r="N8" s="2" t="str">
        <x:f>TRIM(MID(SUBSTITUTE($B8,",",REPT(" ",100)),601,100))</x:f>
      </x:c>
      <x:c r="O8" s="2" t="str">
        <x:f>TRIM(MID(SUBSTITUTE($B8,",",REPT(" ",100)),701,100))</x:f>
      </x:c>
      <x:c r="P8" s="14" t="n">
        <x:f>IF(H8="",0,IF(COUNTIFS('Tasks'!$A$2:$A$224,H8)=1,INDEX('Tasks'!$M$2:$M$224,MATCH(H8,'Tasks'!$A$2:$A$224,0)),"BAD ID"))</x:f>
        <x:v>0</x:v>
      </x:c>
      <x:c r="Q8" s="14" t="n">
        <x:f>IF(I8="",0,IF(COUNTIFS('Tasks'!$A$2:$A$224,I8)=1,INDEX('Tasks'!$M$2:$M$224,MATCH(I8,'Tasks'!$A$2:$A$224,0)),"BAD ID"))</x:f>
        <x:v>0</x:v>
      </x:c>
      <x:c r="R8" s="14" t="n">
        <x:f>IF(J8="",0,IF(COUNTIFS('Tasks'!$A$2:$A$224,J8)=1,INDEX('Tasks'!$M$2:$M$224,MATCH(J8,'Tasks'!$A$2:$A$224,0)),"BAD ID"))</x:f>
        <x:v>0</x:v>
      </x:c>
      <x:c r="S8" s="14" t="n">
        <x:f>IF(K8="",0,IF(COUNTIFS('Tasks'!$A$2:$A$224,K8)=1,INDEX('Tasks'!$M$2:$M$224,MATCH(K8,'Tasks'!$A$2:$A$224,0)),"BAD ID"))</x:f>
        <x:v>0</x:v>
      </x:c>
      <x:c r="T8" s="14" t="n">
        <x:f>IF(L8="",0,IF(COUNTIFS('Tasks'!$A$2:$A$224,L8)=1,INDEX('Tasks'!$M$2:$M$224,MATCH(L8,'Tasks'!$A$2:$A$224,0)),"BAD ID"))</x:f>
        <x:v>0</x:v>
      </x:c>
      <x:c r="U8" s="14" t="n">
        <x:f>IF(M8="",0,IF(COUNTIFS('Tasks'!$A$2:$A$224,M8)=1,INDEX('Tasks'!$M$2:$M$224,MATCH(M8,'Tasks'!$A$2:$A$224,0)),"BAD ID"))</x:f>
        <x:v>0</x:v>
      </x:c>
      <x:c r="V8" s="14" t="n">
        <x:f>IF(N8="",0,IF(COUNTIFS('Tasks'!$A$2:$A$224,N8)=1,INDEX('Tasks'!$M$2:$M$224,MATCH(N8,'Tasks'!$A$2:$A$224,0)),"BAD ID"))</x:f>
        <x:v>0</x:v>
      </x:c>
      <x:c r="W8" s="14" t="n">
        <x:f>IF(O8="",0,IF(COUNTIFS('Tasks'!$A$2:$A$224,O8)=1,INDEX('Tasks'!$M$2:$M$224,MATCH(O8,'Tasks'!$A$2:$A$224,0)),"BAD ID"))</x:f>
        <x:v>0</x:v>
      </x:c>
    </x:row>
    <x:row r="9" ht="28" customHeight="1">
      <x:c r="A9" s="2" t="str">
        <x:v>BL-C-01</x:v>
      </x:c>
      <x:c r="B9" s="2" t="str">
        <x:f>IF(VLOOKUP(A9,'Tasks'!$A$2:$X$224,15,FALSE)="","",VLOOKUP(A9,'Tasks'!$A$2:$X$224,15,FALSE))</x:f>
      </x:c>
      <x:c r="C9" s="13" t="n">
        <x:f>VLOOKUP(A9,'Tasks'!$A$2:$X$224,12,FALSE)</x:f>
        <x:v>46307</x:v>
      </x:c>
      <x:c r="D9" s="2" t="n">
        <x:f>IF(B9="",0,LEN(B9)-LEN(SUBSTITUTE(B9,",",""))+1)</x:f>
        <x:v>0</x:v>
      </x:c>
      <x:c r="E9" s="14" t="n">
        <x:f>MAX(P9:W9)</x:f>
        <x:v>0</x:v>
      </x:c>
      <x:c r="F9" s="2" t="n">
        <x:f>COUNTIFS(P9:W9,"BAD ID")</x:f>
        <x:v>0</x:v>
      </x:c>
      <x:c r="G9" s="2" t="str">
        <x:f>IF(D9&gt;8,"TOO MANY",IF(F9&gt;0,"BAD ID",IF(C9&gt;=E9,"OK","LATE")))</x:f>
        <x:v>OK</x:v>
      </x:c>
      <x:c r="H9" s="2" t="str">
        <x:f>TRIM(MID(SUBSTITUTE($B9,",",REPT(" ",100)),1,100))</x:f>
      </x:c>
      <x:c r="I9" s="2" t="str">
        <x:f>TRIM(MID(SUBSTITUTE($B9,",",REPT(" ",100)),101,100))</x:f>
      </x:c>
      <x:c r="J9" s="2" t="str">
        <x:f>TRIM(MID(SUBSTITUTE($B9,",",REPT(" ",100)),201,100))</x:f>
      </x:c>
      <x:c r="K9" s="2" t="str">
        <x:f>TRIM(MID(SUBSTITUTE($B9,",",REPT(" ",100)),301,100))</x:f>
      </x:c>
      <x:c r="L9" s="2" t="str">
        <x:f>TRIM(MID(SUBSTITUTE($B9,",",REPT(" ",100)),401,100))</x:f>
      </x:c>
      <x:c r="M9" s="2" t="str">
        <x:f>TRIM(MID(SUBSTITUTE($B9,",",REPT(" ",100)),501,100))</x:f>
      </x:c>
      <x:c r="N9" s="2" t="str">
        <x:f>TRIM(MID(SUBSTITUTE($B9,",",REPT(" ",100)),601,100))</x:f>
      </x:c>
      <x:c r="O9" s="2" t="str">
        <x:f>TRIM(MID(SUBSTITUTE($B9,",",REPT(" ",100)),701,100))</x:f>
      </x:c>
      <x:c r="P9" s="14" t="n">
        <x:f>IF(H9="",0,IF(COUNTIFS('Tasks'!$A$2:$A$224,H9)=1,INDEX('Tasks'!$M$2:$M$224,MATCH(H9,'Tasks'!$A$2:$A$224,0)),"BAD ID"))</x:f>
        <x:v>0</x:v>
      </x:c>
      <x:c r="Q9" s="14" t="n">
        <x:f>IF(I9="",0,IF(COUNTIFS('Tasks'!$A$2:$A$224,I9)=1,INDEX('Tasks'!$M$2:$M$224,MATCH(I9,'Tasks'!$A$2:$A$224,0)),"BAD ID"))</x:f>
        <x:v>0</x:v>
      </x:c>
      <x:c r="R9" s="14" t="n">
        <x:f>IF(J9="",0,IF(COUNTIFS('Tasks'!$A$2:$A$224,J9)=1,INDEX('Tasks'!$M$2:$M$224,MATCH(J9,'Tasks'!$A$2:$A$224,0)),"BAD ID"))</x:f>
        <x:v>0</x:v>
      </x:c>
      <x:c r="S9" s="14" t="n">
        <x:f>IF(K9="",0,IF(COUNTIFS('Tasks'!$A$2:$A$224,K9)=1,INDEX('Tasks'!$M$2:$M$224,MATCH(K9,'Tasks'!$A$2:$A$224,0)),"BAD ID"))</x:f>
        <x:v>0</x:v>
      </x:c>
      <x:c r="T9" s="14" t="n">
        <x:f>IF(L9="",0,IF(COUNTIFS('Tasks'!$A$2:$A$224,L9)=1,INDEX('Tasks'!$M$2:$M$224,MATCH(L9,'Tasks'!$A$2:$A$224,0)),"BAD ID"))</x:f>
        <x:v>0</x:v>
      </x:c>
      <x:c r="U9" s="14" t="n">
        <x:f>IF(M9="",0,IF(COUNTIFS('Tasks'!$A$2:$A$224,M9)=1,INDEX('Tasks'!$M$2:$M$224,MATCH(M9,'Tasks'!$A$2:$A$224,0)),"BAD ID"))</x:f>
        <x:v>0</x:v>
      </x:c>
      <x:c r="V9" s="14" t="n">
        <x:f>IF(N9="",0,IF(COUNTIFS('Tasks'!$A$2:$A$224,N9)=1,INDEX('Tasks'!$M$2:$M$224,MATCH(N9,'Tasks'!$A$2:$A$224,0)),"BAD ID"))</x:f>
        <x:v>0</x:v>
      </x:c>
      <x:c r="W9" s="14" t="n">
        <x:f>IF(O9="",0,IF(COUNTIFS('Tasks'!$A$2:$A$224,O9)=1,INDEX('Tasks'!$M$2:$M$224,MATCH(O9,'Tasks'!$A$2:$A$224,0)),"BAD ID"))</x:f>
        <x:v>0</x:v>
      </x:c>
    </x:row>
    <x:row r="10" ht="28" customHeight="1">
      <x:c r="A10" s="2" t="str">
        <x:v>BL-D-01</x:v>
      </x:c>
      <x:c r="B10" s="2" t="str">
        <x:f>IF(VLOOKUP(A10,'Tasks'!$A$2:$X$224,15,FALSE)="","",VLOOKUP(A10,'Tasks'!$A$2:$X$224,15,FALSE))</x:f>
      </x:c>
      <x:c r="C10" s="13" t="n">
        <x:f>VLOOKUP(A10,'Tasks'!$A$2:$X$224,12,FALSE)</x:f>
        <x:v>46307</x:v>
      </x:c>
      <x:c r="D10" s="2" t="n">
        <x:f>IF(B10="",0,LEN(B10)-LEN(SUBSTITUTE(B10,",",""))+1)</x:f>
        <x:v>0</x:v>
      </x:c>
      <x:c r="E10" s="14" t="n">
        <x:f>MAX(P10:W10)</x:f>
        <x:v>0</x:v>
      </x:c>
      <x:c r="F10" s="2" t="n">
        <x:f>COUNTIFS(P10:W10,"BAD ID")</x:f>
        <x:v>0</x:v>
      </x:c>
      <x:c r="G10" s="2" t="str">
        <x:f>IF(D10&gt;8,"TOO MANY",IF(F10&gt;0,"BAD ID",IF(C10&gt;=E10,"OK","LATE")))</x:f>
        <x:v>OK</x:v>
      </x:c>
      <x:c r="H10" s="2" t="str">
        <x:f>TRIM(MID(SUBSTITUTE($B10,",",REPT(" ",100)),1,100))</x:f>
      </x:c>
      <x:c r="I10" s="2" t="str">
        <x:f>TRIM(MID(SUBSTITUTE($B10,",",REPT(" ",100)),101,100))</x:f>
      </x:c>
      <x:c r="J10" s="2" t="str">
        <x:f>TRIM(MID(SUBSTITUTE($B10,",",REPT(" ",100)),201,100))</x:f>
      </x:c>
      <x:c r="K10" s="2" t="str">
        <x:f>TRIM(MID(SUBSTITUTE($B10,",",REPT(" ",100)),301,100))</x:f>
      </x:c>
      <x:c r="L10" s="2" t="str">
        <x:f>TRIM(MID(SUBSTITUTE($B10,",",REPT(" ",100)),401,100))</x:f>
      </x:c>
      <x:c r="M10" s="2" t="str">
        <x:f>TRIM(MID(SUBSTITUTE($B10,",",REPT(" ",100)),501,100))</x:f>
      </x:c>
      <x:c r="N10" s="2" t="str">
        <x:f>TRIM(MID(SUBSTITUTE($B10,",",REPT(" ",100)),601,100))</x:f>
      </x:c>
      <x:c r="O10" s="2" t="str">
        <x:f>TRIM(MID(SUBSTITUTE($B10,",",REPT(" ",100)),701,100))</x:f>
      </x:c>
      <x:c r="P10" s="14" t="n">
        <x:f>IF(H10="",0,IF(COUNTIFS('Tasks'!$A$2:$A$224,H10)=1,INDEX('Tasks'!$M$2:$M$224,MATCH(H10,'Tasks'!$A$2:$A$224,0)),"BAD ID"))</x:f>
        <x:v>0</x:v>
      </x:c>
      <x:c r="Q10" s="14" t="n">
        <x:f>IF(I10="",0,IF(COUNTIFS('Tasks'!$A$2:$A$224,I10)=1,INDEX('Tasks'!$M$2:$M$224,MATCH(I10,'Tasks'!$A$2:$A$224,0)),"BAD ID"))</x:f>
        <x:v>0</x:v>
      </x:c>
      <x:c r="R10" s="14" t="n">
        <x:f>IF(J10="",0,IF(COUNTIFS('Tasks'!$A$2:$A$224,J10)=1,INDEX('Tasks'!$M$2:$M$224,MATCH(J10,'Tasks'!$A$2:$A$224,0)),"BAD ID"))</x:f>
        <x:v>0</x:v>
      </x:c>
      <x:c r="S10" s="14" t="n">
        <x:f>IF(K10="",0,IF(COUNTIFS('Tasks'!$A$2:$A$224,K10)=1,INDEX('Tasks'!$M$2:$M$224,MATCH(K10,'Tasks'!$A$2:$A$224,0)),"BAD ID"))</x:f>
        <x:v>0</x:v>
      </x:c>
      <x:c r="T10" s="14" t="n">
        <x:f>IF(L10="",0,IF(COUNTIFS('Tasks'!$A$2:$A$224,L10)=1,INDEX('Tasks'!$M$2:$M$224,MATCH(L10,'Tasks'!$A$2:$A$224,0)),"BAD ID"))</x:f>
        <x:v>0</x:v>
      </x:c>
      <x:c r="U10" s="14" t="n">
        <x:f>IF(M10="",0,IF(COUNTIFS('Tasks'!$A$2:$A$224,M10)=1,INDEX('Tasks'!$M$2:$M$224,MATCH(M10,'Tasks'!$A$2:$A$224,0)),"BAD ID"))</x:f>
        <x:v>0</x:v>
      </x:c>
      <x:c r="V10" s="14" t="n">
        <x:f>IF(N10="",0,IF(COUNTIFS('Tasks'!$A$2:$A$224,N10)=1,INDEX('Tasks'!$M$2:$M$224,MATCH(N10,'Tasks'!$A$2:$A$224,0)),"BAD ID"))</x:f>
        <x:v>0</x:v>
      </x:c>
      <x:c r="W10" s="14" t="n">
        <x:f>IF(O10="",0,IF(COUNTIFS('Tasks'!$A$2:$A$224,O10)=1,INDEX('Tasks'!$M$2:$M$224,MATCH(O10,'Tasks'!$A$2:$A$224,0)),"BAD ID"))</x:f>
        <x:v>0</x:v>
      </x:c>
    </x:row>
    <x:row r="11" ht="28" customHeight="1">
      <x:c r="A11" s="2" t="str">
        <x:v>BL-A-01</x:v>
      </x:c>
      <x:c r="B11" s="2" t="str">
        <x:f>IF(VLOOKUP(A11,'Tasks'!$A$2:$X$224,15,FALSE)="","",VLOOKUP(A11,'Tasks'!$A$2:$X$224,15,FALSE))</x:f>
      </x:c>
      <x:c r="C11" s="13" t="n">
        <x:f>VLOOKUP(A11,'Tasks'!$A$2:$X$224,12,FALSE)</x:f>
        <x:v>46307</x:v>
      </x:c>
      <x:c r="D11" s="2" t="n">
        <x:f>IF(B11="",0,LEN(B11)-LEN(SUBSTITUTE(B11,",",""))+1)</x:f>
        <x:v>0</x:v>
      </x:c>
      <x:c r="E11" s="14" t="n">
        <x:f>MAX(P11:W11)</x:f>
        <x:v>0</x:v>
      </x:c>
      <x:c r="F11" s="2" t="n">
        <x:f>COUNTIFS(P11:W11,"BAD ID")</x:f>
        <x:v>0</x:v>
      </x:c>
      <x:c r="G11" s="2" t="str">
        <x:f>IF(D11&gt;8,"TOO MANY",IF(F11&gt;0,"BAD ID",IF(C11&gt;=E11,"OK","LATE")))</x:f>
        <x:v>OK</x:v>
      </x:c>
      <x:c r="H11" s="2" t="str">
        <x:f>TRIM(MID(SUBSTITUTE($B11,",",REPT(" ",100)),1,100))</x:f>
      </x:c>
      <x:c r="I11" s="2" t="str">
        <x:f>TRIM(MID(SUBSTITUTE($B11,",",REPT(" ",100)),101,100))</x:f>
      </x:c>
      <x:c r="J11" s="2" t="str">
        <x:f>TRIM(MID(SUBSTITUTE($B11,",",REPT(" ",100)),201,100))</x:f>
      </x:c>
      <x:c r="K11" s="2" t="str">
        <x:f>TRIM(MID(SUBSTITUTE($B11,",",REPT(" ",100)),301,100))</x:f>
      </x:c>
      <x:c r="L11" s="2" t="str">
        <x:f>TRIM(MID(SUBSTITUTE($B11,",",REPT(" ",100)),401,100))</x:f>
      </x:c>
      <x:c r="M11" s="2" t="str">
        <x:f>TRIM(MID(SUBSTITUTE($B11,",",REPT(" ",100)),501,100))</x:f>
      </x:c>
      <x:c r="N11" s="2" t="str">
        <x:f>TRIM(MID(SUBSTITUTE($B11,",",REPT(" ",100)),601,100))</x:f>
      </x:c>
      <x:c r="O11" s="2" t="str">
        <x:f>TRIM(MID(SUBSTITUTE($B11,",",REPT(" ",100)),701,100))</x:f>
      </x:c>
      <x:c r="P11" s="14" t="n">
        <x:f>IF(H11="",0,IF(COUNTIFS('Tasks'!$A$2:$A$224,H11)=1,INDEX('Tasks'!$M$2:$M$224,MATCH(H11,'Tasks'!$A$2:$A$224,0)),"BAD ID"))</x:f>
        <x:v>0</x:v>
      </x:c>
      <x:c r="Q11" s="14" t="n">
        <x:f>IF(I11="",0,IF(COUNTIFS('Tasks'!$A$2:$A$224,I11)=1,INDEX('Tasks'!$M$2:$M$224,MATCH(I11,'Tasks'!$A$2:$A$224,0)),"BAD ID"))</x:f>
        <x:v>0</x:v>
      </x:c>
      <x:c r="R11" s="14" t="n">
        <x:f>IF(J11="",0,IF(COUNTIFS('Tasks'!$A$2:$A$224,J11)=1,INDEX('Tasks'!$M$2:$M$224,MATCH(J11,'Tasks'!$A$2:$A$224,0)),"BAD ID"))</x:f>
        <x:v>0</x:v>
      </x:c>
      <x:c r="S11" s="14" t="n">
        <x:f>IF(K11="",0,IF(COUNTIFS('Tasks'!$A$2:$A$224,K11)=1,INDEX('Tasks'!$M$2:$M$224,MATCH(K11,'Tasks'!$A$2:$A$224,0)),"BAD ID"))</x:f>
        <x:v>0</x:v>
      </x:c>
      <x:c r="T11" s="14" t="n">
        <x:f>IF(L11="",0,IF(COUNTIFS('Tasks'!$A$2:$A$224,L11)=1,INDEX('Tasks'!$M$2:$M$224,MATCH(L11,'Tasks'!$A$2:$A$224,0)),"BAD ID"))</x:f>
        <x:v>0</x:v>
      </x:c>
      <x:c r="U11" s="14" t="n">
        <x:f>IF(M11="",0,IF(COUNTIFS('Tasks'!$A$2:$A$224,M11)=1,INDEX('Tasks'!$M$2:$M$224,MATCH(M11,'Tasks'!$A$2:$A$224,0)),"BAD ID"))</x:f>
        <x:v>0</x:v>
      </x:c>
      <x:c r="V11" s="14" t="n">
        <x:f>IF(N11="",0,IF(COUNTIFS('Tasks'!$A$2:$A$224,N11)=1,INDEX('Tasks'!$M$2:$M$224,MATCH(N11,'Tasks'!$A$2:$A$224,0)),"BAD ID"))</x:f>
        <x:v>0</x:v>
      </x:c>
      <x:c r="W11" s="14" t="n">
        <x:f>IF(O11="",0,IF(COUNTIFS('Tasks'!$A$2:$A$224,O11)=1,INDEX('Tasks'!$M$2:$M$224,MATCH(O11,'Tasks'!$A$2:$A$224,0)),"BAD ID"))</x:f>
        <x:v>0</x:v>
      </x:c>
    </x:row>
    <x:row r="12" ht="28" customHeight="1">
      <x:c r="A12" s="2" t="str">
        <x:v>BL-E-01</x:v>
      </x:c>
      <x:c r="B12" s="2" t="str">
        <x:f>IF(VLOOKUP(A12,'Tasks'!$A$2:$X$224,15,FALSE)="","",VLOOKUP(A12,'Tasks'!$A$2:$X$224,15,FALSE))</x:f>
        <x:v>PROC-02,BL-A-01</x:v>
      </x:c>
      <x:c r="C12" s="13" t="n">
        <x:f>VLOOKUP(A12,'Tasks'!$A$2:$X$224,12,FALSE)</x:f>
        <x:v>46308</x:v>
      </x:c>
      <x:c r="D12" s="2" t="n">
        <x:f>IF(B12="",0,LEN(B12)-LEN(SUBSTITUTE(B12,",",""))+1)</x:f>
        <x:v>2</x:v>
      </x:c>
      <x:c r="E12" s="14" t="n">
        <x:f>MAX(P12:W12)</x:f>
        <x:v>46307</x:v>
      </x:c>
      <x:c r="F12" s="2" t="n">
        <x:f>COUNTIFS(P12:W12,"BAD ID")</x:f>
        <x:v>0</x:v>
      </x:c>
      <x:c r="G12" s="2" t="str">
        <x:f>IF(D12&gt;8,"TOO MANY",IF(F12&gt;0,"BAD ID",IF(C12&gt;=E12,"OK","LATE")))</x:f>
        <x:v>OK</x:v>
      </x:c>
      <x:c r="H12" s="2" t="str">
        <x:f>TRIM(MID(SUBSTITUTE($B12,",",REPT(" ",100)),1,100))</x:f>
        <x:v>PROC-02</x:v>
      </x:c>
      <x:c r="I12" s="2" t="str">
        <x:f>TRIM(MID(SUBSTITUTE($B12,",",REPT(" ",100)),101,100))</x:f>
        <x:v>BL-A-01</x:v>
      </x:c>
      <x:c r="J12" s="2" t="str">
        <x:f>TRIM(MID(SUBSTITUTE($B12,",",REPT(" ",100)),201,100))</x:f>
      </x:c>
      <x:c r="K12" s="2" t="str">
        <x:f>TRIM(MID(SUBSTITUTE($B12,",",REPT(" ",100)),301,100))</x:f>
      </x:c>
      <x:c r="L12" s="2" t="str">
        <x:f>TRIM(MID(SUBSTITUTE($B12,",",REPT(" ",100)),401,100))</x:f>
      </x:c>
      <x:c r="M12" s="2" t="str">
        <x:f>TRIM(MID(SUBSTITUTE($B12,",",REPT(" ",100)),501,100))</x:f>
      </x:c>
      <x:c r="N12" s="2" t="str">
        <x:f>TRIM(MID(SUBSTITUTE($B12,",",REPT(" ",100)),601,100))</x:f>
      </x:c>
      <x:c r="O12" s="2" t="str">
        <x:f>TRIM(MID(SUBSTITUTE($B12,",",REPT(" ",100)),701,100))</x:f>
      </x:c>
      <x:c r="P12" s="14" t="n">
        <x:f>IF(H12="",0,IF(COUNTIFS('Tasks'!$A$2:$A$224,H12)=1,INDEX('Tasks'!$M$2:$M$224,MATCH(H12,'Tasks'!$A$2:$A$224,0)),"BAD ID"))</x:f>
        <x:v>46307</x:v>
      </x:c>
      <x:c r="Q12" s="14" t="n">
        <x:f>IF(I12="",0,IF(COUNTIFS('Tasks'!$A$2:$A$224,I12)=1,INDEX('Tasks'!$M$2:$M$224,MATCH(I12,'Tasks'!$A$2:$A$224,0)),"BAD ID"))</x:f>
        <x:v>46307</x:v>
      </x:c>
      <x:c r="R12" s="14" t="n">
        <x:f>IF(J12="",0,IF(COUNTIFS('Tasks'!$A$2:$A$224,J12)=1,INDEX('Tasks'!$M$2:$M$224,MATCH(J12,'Tasks'!$A$2:$A$224,0)),"BAD ID"))</x:f>
        <x:v>0</x:v>
      </x:c>
      <x:c r="S12" s="14" t="n">
        <x:f>IF(K12="",0,IF(COUNTIFS('Tasks'!$A$2:$A$224,K12)=1,INDEX('Tasks'!$M$2:$M$224,MATCH(K12,'Tasks'!$A$2:$A$224,0)),"BAD ID"))</x:f>
        <x:v>0</x:v>
      </x:c>
      <x:c r="T12" s="14" t="n">
        <x:f>IF(L12="",0,IF(COUNTIFS('Tasks'!$A$2:$A$224,L12)=1,INDEX('Tasks'!$M$2:$M$224,MATCH(L12,'Tasks'!$A$2:$A$224,0)),"BAD ID"))</x:f>
        <x:v>0</x:v>
      </x:c>
      <x:c r="U12" s="14" t="n">
        <x:f>IF(M12="",0,IF(COUNTIFS('Tasks'!$A$2:$A$224,M12)=1,INDEX('Tasks'!$M$2:$M$224,MATCH(M12,'Tasks'!$A$2:$A$224,0)),"BAD ID"))</x:f>
        <x:v>0</x:v>
      </x:c>
      <x:c r="V12" s="14" t="n">
        <x:f>IF(N12="",0,IF(COUNTIFS('Tasks'!$A$2:$A$224,N12)=1,INDEX('Tasks'!$M$2:$M$224,MATCH(N12,'Tasks'!$A$2:$A$224,0)),"BAD ID"))</x:f>
        <x:v>0</x:v>
      </x:c>
      <x:c r="W12" s="14" t="n">
        <x:f>IF(O12="",0,IF(COUNTIFS('Tasks'!$A$2:$A$224,O12)=1,INDEX('Tasks'!$M$2:$M$224,MATCH(O12,'Tasks'!$A$2:$A$224,0)),"BAD ID"))</x:f>
        <x:v>0</x:v>
      </x:c>
    </x:row>
    <x:row r="13" ht="28" customHeight="1">
      <x:c r="A13" s="2" t="str">
        <x:v>BL-B-01</x:v>
      </x:c>
      <x:c r="B13" s="2" t="str">
        <x:f>IF(VLOOKUP(A13,'Tasks'!$A$2:$X$224,15,FALSE)="","",VLOOKUP(A13,'Tasks'!$A$2:$X$224,15,FALSE))</x:f>
        <x:v>PROC-02,BL-F-01</x:v>
      </x:c>
      <x:c r="C13" s="13" t="n">
        <x:f>VLOOKUP(A13,'Tasks'!$A$2:$X$224,12,FALSE)</x:f>
        <x:v>46308</x:v>
      </x:c>
      <x:c r="D13" s="2" t="n">
        <x:f>IF(B13="",0,LEN(B13)-LEN(SUBSTITUTE(B13,",",""))+1)</x:f>
        <x:v>2</x:v>
      </x:c>
      <x:c r="E13" s="14" t="n">
        <x:f>MAX(P13:W13)</x:f>
        <x:v>46307</x:v>
      </x:c>
      <x:c r="F13" s="2" t="n">
        <x:f>COUNTIFS(P13:W13,"BAD ID")</x:f>
        <x:v>0</x:v>
      </x:c>
      <x:c r="G13" s="2" t="str">
        <x:f>IF(D13&gt;8,"TOO MANY",IF(F13&gt;0,"BAD ID",IF(C13&gt;=E13,"OK","LATE")))</x:f>
        <x:v>OK</x:v>
      </x:c>
      <x:c r="H13" s="2" t="str">
        <x:f>TRIM(MID(SUBSTITUTE($B13,",",REPT(" ",100)),1,100))</x:f>
        <x:v>PROC-02</x:v>
      </x:c>
      <x:c r="I13" s="2" t="str">
        <x:f>TRIM(MID(SUBSTITUTE($B13,",",REPT(" ",100)),101,100))</x:f>
        <x:v>BL-F-01</x:v>
      </x:c>
      <x:c r="J13" s="2" t="str">
        <x:f>TRIM(MID(SUBSTITUTE($B13,",",REPT(" ",100)),201,100))</x:f>
      </x:c>
      <x:c r="K13" s="2" t="str">
        <x:f>TRIM(MID(SUBSTITUTE($B13,",",REPT(" ",100)),301,100))</x:f>
      </x:c>
      <x:c r="L13" s="2" t="str">
        <x:f>TRIM(MID(SUBSTITUTE($B13,",",REPT(" ",100)),401,100))</x:f>
      </x:c>
      <x:c r="M13" s="2" t="str">
        <x:f>TRIM(MID(SUBSTITUTE($B13,",",REPT(" ",100)),501,100))</x:f>
      </x:c>
      <x:c r="N13" s="2" t="str">
        <x:f>TRIM(MID(SUBSTITUTE($B13,",",REPT(" ",100)),601,100))</x:f>
      </x:c>
      <x:c r="O13" s="2" t="str">
        <x:f>TRIM(MID(SUBSTITUTE($B13,",",REPT(" ",100)),701,100))</x:f>
      </x:c>
      <x:c r="P13" s="14" t="n">
        <x:f>IF(H13="",0,IF(COUNTIFS('Tasks'!$A$2:$A$224,H13)=1,INDEX('Tasks'!$M$2:$M$224,MATCH(H13,'Tasks'!$A$2:$A$224,0)),"BAD ID"))</x:f>
        <x:v>46307</x:v>
      </x:c>
      <x:c r="Q13" s="14" t="n">
        <x:f>IF(I13="",0,IF(COUNTIFS('Tasks'!$A$2:$A$224,I13)=1,INDEX('Tasks'!$M$2:$M$224,MATCH(I13,'Tasks'!$A$2:$A$224,0)),"BAD ID"))</x:f>
        <x:v>46307</x:v>
      </x:c>
      <x:c r="R13" s="14" t="n">
        <x:f>IF(J13="",0,IF(COUNTIFS('Tasks'!$A$2:$A$224,J13)=1,INDEX('Tasks'!$M$2:$M$224,MATCH(J13,'Tasks'!$A$2:$A$224,0)),"BAD ID"))</x:f>
        <x:v>0</x:v>
      </x:c>
      <x:c r="S13" s="14" t="n">
        <x:f>IF(K13="",0,IF(COUNTIFS('Tasks'!$A$2:$A$224,K13)=1,INDEX('Tasks'!$M$2:$M$224,MATCH(K13,'Tasks'!$A$2:$A$224,0)),"BAD ID"))</x:f>
        <x:v>0</x:v>
      </x:c>
      <x:c r="T13" s="14" t="n">
        <x:f>IF(L13="",0,IF(COUNTIFS('Tasks'!$A$2:$A$224,L13)=1,INDEX('Tasks'!$M$2:$M$224,MATCH(L13,'Tasks'!$A$2:$A$224,0)),"BAD ID"))</x:f>
        <x:v>0</x:v>
      </x:c>
      <x:c r="U13" s="14" t="n">
        <x:f>IF(M13="",0,IF(COUNTIFS('Tasks'!$A$2:$A$224,M13)=1,INDEX('Tasks'!$M$2:$M$224,MATCH(M13,'Tasks'!$A$2:$A$224,0)),"BAD ID"))</x:f>
        <x:v>0</x:v>
      </x:c>
      <x:c r="V13" s="14" t="n">
        <x:f>IF(N13="",0,IF(COUNTIFS('Tasks'!$A$2:$A$224,N13)=1,INDEX('Tasks'!$M$2:$M$224,MATCH(N13,'Tasks'!$A$2:$A$224,0)),"BAD ID"))</x:f>
        <x:v>0</x:v>
      </x:c>
      <x:c r="W13" s="14" t="n">
        <x:f>IF(O13="",0,IF(COUNTIFS('Tasks'!$A$2:$A$224,O13)=1,INDEX('Tasks'!$M$2:$M$224,MATCH(O13,'Tasks'!$A$2:$A$224,0)),"BAD ID"))</x:f>
        <x:v>0</x:v>
      </x:c>
    </x:row>
    <x:row r="14" ht="28" customHeight="1">
      <x:c r="A14" s="2" t="str">
        <x:v>BL-F-02</x:v>
      </x:c>
      <x:c r="B14" s="2" t="str">
        <x:f>IF(VLOOKUP(A14,'Tasks'!$A$2:$X$224,15,FALSE)="","",VLOOKUP(A14,'Tasks'!$A$2:$X$224,15,FALSE))</x:f>
        <x:v>BL-F-01,BL-C-01,BL-D-01</x:v>
      </x:c>
      <x:c r="C14" s="13" t="n">
        <x:f>VLOOKUP(A14,'Tasks'!$A$2:$X$224,12,FALSE)</x:f>
        <x:v>46308</x:v>
      </x:c>
      <x:c r="D14" s="2" t="n">
        <x:f>IF(B14="",0,LEN(B14)-LEN(SUBSTITUTE(B14,",",""))+1)</x:f>
        <x:v>3</x:v>
      </x:c>
      <x:c r="E14" s="14" t="n">
        <x:f>MAX(P14:W14)</x:f>
        <x:v>46307</x:v>
      </x:c>
      <x:c r="F14" s="2" t="n">
        <x:f>COUNTIFS(P14:W14,"BAD ID")</x:f>
        <x:v>0</x:v>
      </x:c>
      <x:c r="G14" s="2" t="str">
        <x:f>IF(D14&gt;8,"TOO MANY",IF(F14&gt;0,"BAD ID",IF(C14&gt;=E14,"OK","LATE")))</x:f>
        <x:v>OK</x:v>
      </x:c>
      <x:c r="H14" s="2" t="str">
        <x:f>TRIM(MID(SUBSTITUTE($B14,",",REPT(" ",100)),1,100))</x:f>
        <x:v>BL-F-01</x:v>
      </x:c>
      <x:c r="I14" s="2" t="str">
        <x:f>TRIM(MID(SUBSTITUTE($B14,",",REPT(" ",100)),101,100))</x:f>
        <x:v>BL-C-01</x:v>
      </x:c>
      <x:c r="J14" s="2" t="str">
        <x:f>TRIM(MID(SUBSTITUTE($B14,",",REPT(" ",100)),201,100))</x:f>
        <x:v>BL-D-01</x:v>
      </x:c>
      <x:c r="K14" s="2" t="str">
        <x:f>TRIM(MID(SUBSTITUTE($B14,",",REPT(" ",100)),301,100))</x:f>
      </x:c>
      <x:c r="L14" s="2" t="str">
        <x:f>TRIM(MID(SUBSTITUTE($B14,",",REPT(" ",100)),401,100))</x:f>
      </x:c>
      <x:c r="M14" s="2" t="str">
        <x:f>TRIM(MID(SUBSTITUTE($B14,",",REPT(" ",100)),501,100))</x:f>
      </x:c>
      <x:c r="N14" s="2" t="str">
        <x:f>TRIM(MID(SUBSTITUTE($B14,",",REPT(" ",100)),601,100))</x:f>
      </x:c>
      <x:c r="O14" s="2" t="str">
        <x:f>TRIM(MID(SUBSTITUTE($B14,",",REPT(" ",100)),701,100))</x:f>
      </x:c>
      <x:c r="P14" s="14" t="n">
        <x:f>IF(H14="",0,IF(COUNTIFS('Tasks'!$A$2:$A$224,H14)=1,INDEX('Tasks'!$M$2:$M$224,MATCH(H14,'Tasks'!$A$2:$A$224,0)),"BAD ID"))</x:f>
        <x:v>46307</x:v>
      </x:c>
      <x:c r="Q14" s="14" t="n">
        <x:f>IF(I14="",0,IF(COUNTIFS('Tasks'!$A$2:$A$224,I14)=1,INDEX('Tasks'!$M$2:$M$224,MATCH(I14,'Tasks'!$A$2:$A$224,0)),"BAD ID"))</x:f>
        <x:v>46307</x:v>
      </x:c>
      <x:c r="R14" s="14" t="n">
        <x:f>IF(J14="",0,IF(COUNTIFS('Tasks'!$A$2:$A$224,J14)=1,INDEX('Tasks'!$M$2:$M$224,MATCH(J14,'Tasks'!$A$2:$A$224,0)),"BAD ID"))</x:f>
        <x:v>46307</x:v>
      </x:c>
      <x:c r="S14" s="14" t="n">
        <x:f>IF(K14="",0,IF(COUNTIFS('Tasks'!$A$2:$A$224,K14)=1,INDEX('Tasks'!$M$2:$M$224,MATCH(K14,'Tasks'!$A$2:$A$224,0)),"BAD ID"))</x:f>
        <x:v>0</x:v>
      </x:c>
      <x:c r="T14" s="14" t="n">
        <x:f>IF(L14="",0,IF(COUNTIFS('Tasks'!$A$2:$A$224,L14)=1,INDEX('Tasks'!$M$2:$M$224,MATCH(L14,'Tasks'!$A$2:$A$224,0)),"BAD ID"))</x:f>
        <x:v>0</x:v>
      </x:c>
      <x:c r="U14" s="14" t="n">
        <x:f>IF(M14="",0,IF(COUNTIFS('Tasks'!$A$2:$A$224,M14)=1,INDEX('Tasks'!$M$2:$M$224,MATCH(M14,'Tasks'!$A$2:$A$224,0)),"BAD ID"))</x:f>
        <x:v>0</x:v>
      </x:c>
      <x:c r="V14" s="14" t="n">
        <x:f>IF(N14="",0,IF(COUNTIFS('Tasks'!$A$2:$A$224,N14)=1,INDEX('Tasks'!$M$2:$M$224,MATCH(N14,'Tasks'!$A$2:$A$224,0)),"BAD ID"))</x:f>
        <x:v>0</x:v>
      </x:c>
      <x:c r="W14" s="14" t="n">
        <x:f>IF(O14="",0,IF(COUNTIFS('Tasks'!$A$2:$A$224,O14)=1,INDEX('Tasks'!$M$2:$M$224,MATCH(O14,'Tasks'!$A$2:$A$224,0)),"BAD ID"))</x:f>
        <x:v>0</x:v>
      </x:c>
    </x:row>
    <x:row r="15" ht="28" customHeight="1">
      <x:c r="A15" s="2" t="str">
        <x:v>BL-D-02</x:v>
      </x:c>
      <x:c r="B15" s="2" t="str">
        <x:f>IF(VLOOKUP(A15,'Tasks'!$A$2:$X$224,15,FALSE)="","",VLOOKUP(A15,'Tasks'!$A$2:$X$224,15,FALSE))</x:f>
        <x:v>BL-D-01,BL-F-01</x:v>
      </x:c>
      <x:c r="C15" s="13" t="n">
        <x:f>VLOOKUP(A15,'Tasks'!$A$2:$X$224,12,FALSE)</x:f>
        <x:v>46308</x:v>
      </x:c>
      <x:c r="D15" s="2" t="n">
        <x:f>IF(B15="",0,LEN(B15)-LEN(SUBSTITUTE(B15,",",""))+1)</x:f>
        <x:v>2</x:v>
      </x:c>
      <x:c r="E15" s="14" t="n">
        <x:f>MAX(P15:W15)</x:f>
        <x:v>46307</x:v>
      </x:c>
      <x:c r="F15" s="2" t="n">
        <x:f>COUNTIFS(P15:W15,"BAD ID")</x:f>
        <x:v>0</x:v>
      </x:c>
      <x:c r="G15" s="2" t="str">
        <x:f>IF(D15&gt;8,"TOO MANY",IF(F15&gt;0,"BAD ID",IF(C15&gt;=E15,"OK","LATE")))</x:f>
        <x:v>OK</x:v>
      </x:c>
      <x:c r="H15" s="2" t="str">
        <x:f>TRIM(MID(SUBSTITUTE($B15,",",REPT(" ",100)),1,100))</x:f>
        <x:v>BL-D-01</x:v>
      </x:c>
      <x:c r="I15" s="2" t="str">
        <x:f>TRIM(MID(SUBSTITUTE($B15,",",REPT(" ",100)),101,100))</x:f>
        <x:v>BL-F-01</x:v>
      </x:c>
      <x:c r="J15" s="2" t="str">
        <x:f>TRIM(MID(SUBSTITUTE($B15,",",REPT(" ",100)),201,100))</x:f>
      </x:c>
      <x:c r="K15" s="2" t="str">
        <x:f>TRIM(MID(SUBSTITUTE($B15,",",REPT(" ",100)),301,100))</x:f>
      </x:c>
      <x:c r="L15" s="2" t="str">
        <x:f>TRIM(MID(SUBSTITUTE($B15,",",REPT(" ",100)),401,100))</x:f>
      </x:c>
      <x:c r="M15" s="2" t="str">
        <x:f>TRIM(MID(SUBSTITUTE($B15,",",REPT(" ",100)),501,100))</x:f>
      </x:c>
      <x:c r="N15" s="2" t="str">
        <x:f>TRIM(MID(SUBSTITUTE($B15,",",REPT(" ",100)),601,100))</x:f>
      </x:c>
      <x:c r="O15" s="2" t="str">
        <x:f>TRIM(MID(SUBSTITUTE($B15,",",REPT(" ",100)),701,100))</x:f>
      </x:c>
      <x:c r="P15" s="14" t="n">
        <x:f>IF(H15="",0,IF(COUNTIFS('Tasks'!$A$2:$A$224,H15)=1,INDEX('Tasks'!$M$2:$M$224,MATCH(H15,'Tasks'!$A$2:$A$224,0)),"BAD ID"))</x:f>
        <x:v>46307</x:v>
      </x:c>
      <x:c r="Q15" s="14" t="n">
        <x:f>IF(I15="",0,IF(COUNTIFS('Tasks'!$A$2:$A$224,I15)=1,INDEX('Tasks'!$M$2:$M$224,MATCH(I15,'Tasks'!$A$2:$A$224,0)),"BAD ID"))</x:f>
        <x:v>46307</x:v>
      </x:c>
      <x:c r="R15" s="14" t="n">
        <x:f>IF(J15="",0,IF(COUNTIFS('Tasks'!$A$2:$A$224,J15)=1,INDEX('Tasks'!$M$2:$M$224,MATCH(J15,'Tasks'!$A$2:$A$224,0)),"BAD ID"))</x:f>
        <x:v>0</x:v>
      </x:c>
      <x:c r="S15" s="14" t="n">
        <x:f>IF(K15="",0,IF(COUNTIFS('Tasks'!$A$2:$A$224,K15)=1,INDEX('Tasks'!$M$2:$M$224,MATCH(K15,'Tasks'!$A$2:$A$224,0)),"BAD ID"))</x:f>
        <x:v>0</x:v>
      </x:c>
      <x:c r="T15" s="14" t="n">
        <x:f>IF(L15="",0,IF(COUNTIFS('Tasks'!$A$2:$A$224,L15)=1,INDEX('Tasks'!$M$2:$M$224,MATCH(L15,'Tasks'!$A$2:$A$224,0)),"BAD ID"))</x:f>
        <x:v>0</x:v>
      </x:c>
      <x:c r="U15" s="14" t="n">
        <x:f>IF(M15="",0,IF(COUNTIFS('Tasks'!$A$2:$A$224,M15)=1,INDEX('Tasks'!$M$2:$M$224,MATCH(M15,'Tasks'!$A$2:$A$224,0)),"BAD ID"))</x:f>
        <x:v>0</x:v>
      </x:c>
      <x:c r="V15" s="14" t="n">
        <x:f>IF(N15="",0,IF(COUNTIFS('Tasks'!$A$2:$A$224,N15)=1,INDEX('Tasks'!$M$2:$M$224,MATCH(N15,'Tasks'!$A$2:$A$224,0)),"BAD ID"))</x:f>
        <x:v>0</x:v>
      </x:c>
      <x:c r="W15" s="14" t="n">
        <x:f>IF(O15="",0,IF(COUNTIFS('Tasks'!$A$2:$A$224,O15)=1,INDEX('Tasks'!$M$2:$M$224,MATCH(O15,'Tasks'!$A$2:$A$224,0)),"BAD ID"))</x:f>
        <x:v>0</x:v>
      </x:c>
    </x:row>
    <x:row r="16" ht="28" customHeight="1">
      <x:c r="A16" s="2" t="str">
        <x:v>BL-C-02</x:v>
      </x:c>
      <x:c r="B16" s="2" t="str">
        <x:f>IF(VLOOKUP(A16,'Tasks'!$A$2:$X$224,15,FALSE)="","",VLOOKUP(A16,'Tasks'!$A$2:$X$224,15,FALSE))</x:f>
        <x:v>BL-C-01</x:v>
      </x:c>
      <x:c r="C16" s="13" t="n">
        <x:f>VLOOKUP(A16,'Tasks'!$A$2:$X$224,12,FALSE)</x:f>
        <x:v>46308</x:v>
      </x:c>
      <x:c r="D16" s="2" t="n">
        <x:f>IF(B16="",0,LEN(B16)-LEN(SUBSTITUTE(B16,",",""))+1)</x:f>
        <x:v>1</x:v>
      </x:c>
      <x:c r="E16" s="14" t="n">
        <x:f>MAX(P16:W16)</x:f>
        <x:v>46307</x:v>
      </x:c>
      <x:c r="F16" s="2" t="n">
        <x:f>COUNTIFS(P16:W16,"BAD ID")</x:f>
        <x:v>0</x:v>
      </x:c>
      <x:c r="G16" s="2" t="str">
        <x:f>IF(D16&gt;8,"TOO MANY",IF(F16&gt;0,"BAD ID",IF(C16&gt;=E16,"OK","LATE")))</x:f>
        <x:v>OK</x:v>
      </x:c>
      <x:c r="H16" s="2" t="str">
        <x:f>TRIM(MID(SUBSTITUTE($B16,",",REPT(" ",100)),1,100))</x:f>
        <x:v>BL-C-01</x:v>
      </x:c>
      <x:c r="I16" s="2" t="str">
        <x:f>TRIM(MID(SUBSTITUTE($B16,",",REPT(" ",100)),101,100))</x:f>
      </x:c>
      <x:c r="J16" s="2" t="str">
        <x:f>TRIM(MID(SUBSTITUTE($B16,",",REPT(" ",100)),201,100))</x:f>
      </x:c>
      <x:c r="K16" s="2" t="str">
        <x:f>TRIM(MID(SUBSTITUTE($B16,",",REPT(" ",100)),301,100))</x:f>
      </x:c>
      <x:c r="L16" s="2" t="str">
        <x:f>TRIM(MID(SUBSTITUTE($B16,",",REPT(" ",100)),401,100))</x:f>
      </x:c>
      <x:c r="M16" s="2" t="str">
        <x:f>TRIM(MID(SUBSTITUTE($B16,",",REPT(" ",100)),501,100))</x:f>
      </x:c>
      <x:c r="N16" s="2" t="str">
        <x:f>TRIM(MID(SUBSTITUTE($B16,",",REPT(" ",100)),601,100))</x:f>
      </x:c>
      <x:c r="O16" s="2" t="str">
        <x:f>TRIM(MID(SUBSTITUTE($B16,",",REPT(" ",100)),701,100))</x:f>
      </x:c>
      <x:c r="P16" s="14" t="n">
        <x:f>IF(H16="",0,IF(COUNTIFS('Tasks'!$A$2:$A$224,H16)=1,INDEX('Tasks'!$M$2:$M$224,MATCH(H16,'Tasks'!$A$2:$A$224,0)),"BAD ID"))</x:f>
        <x:v>46307</x:v>
      </x:c>
      <x:c r="Q16" s="14" t="n">
        <x:f>IF(I16="",0,IF(COUNTIFS('Tasks'!$A$2:$A$224,I16)=1,INDEX('Tasks'!$M$2:$M$224,MATCH(I16,'Tasks'!$A$2:$A$224,0)),"BAD ID"))</x:f>
        <x:v>0</x:v>
      </x:c>
      <x:c r="R16" s="14" t="n">
        <x:f>IF(J16="",0,IF(COUNTIFS('Tasks'!$A$2:$A$224,J16)=1,INDEX('Tasks'!$M$2:$M$224,MATCH(J16,'Tasks'!$A$2:$A$224,0)),"BAD ID"))</x:f>
        <x:v>0</x:v>
      </x:c>
      <x:c r="S16" s="14" t="n">
        <x:f>IF(K16="",0,IF(COUNTIFS('Tasks'!$A$2:$A$224,K16)=1,INDEX('Tasks'!$M$2:$M$224,MATCH(K16,'Tasks'!$A$2:$A$224,0)),"BAD ID"))</x:f>
        <x:v>0</x:v>
      </x:c>
      <x:c r="T16" s="14" t="n">
        <x:f>IF(L16="",0,IF(COUNTIFS('Tasks'!$A$2:$A$224,L16)=1,INDEX('Tasks'!$M$2:$M$224,MATCH(L16,'Tasks'!$A$2:$A$224,0)),"BAD ID"))</x:f>
        <x:v>0</x:v>
      </x:c>
      <x:c r="U16" s="14" t="n">
        <x:f>IF(M16="",0,IF(COUNTIFS('Tasks'!$A$2:$A$224,M16)=1,INDEX('Tasks'!$M$2:$M$224,MATCH(M16,'Tasks'!$A$2:$A$224,0)),"BAD ID"))</x:f>
        <x:v>0</x:v>
      </x:c>
      <x:c r="V16" s="14" t="n">
        <x:f>IF(N16="",0,IF(COUNTIFS('Tasks'!$A$2:$A$224,N16)=1,INDEX('Tasks'!$M$2:$M$224,MATCH(N16,'Tasks'!$A$2:$A$224,0)),"BAD ID"))</x:f>
        <x:v>0</x:v>
      </x:c>
      <x:c r="W16" s="14" t="n">
        <x:f>IF(O16="",0,IF(COUNTIFS('Tasks'!$A$2:$A$224,O16)=1,INDEX('Tasks'!$M$2:$M$224,MATCH(O16,'Tasks'!$A$2:$A$224,0)),"BAD ID"))</x:f>
        <x:v>0</x:v>
      </x:c>
    </x:row>
    <x:row r="17" ht="28" customHeight="1">
      <x:c r="A17" s="2" t="str">
        <x:v>BL-A-02</x:v>
      </x:c>
      <x:c r="B17" s="2" t="str">
        <x:f>IF(VLOOKUP(A17,'Tasks'!$A$2:$X$224,15,FALSE)="","",VLOOKUP(A17,'Tasks'!$A$2:$X$224,15,FALSE))</x:f>
        <x:v>BL-A-01,PROC-02</x:v>
      </x:c>
      <x:c r="C17" s="13" t="n">
        <x:f>VLOOKUP(A17,'Tasks'!$A$2:$X$224,12,FALSE)</x:f>
        <x:v>46308</x:v>
      </x:c>
      <x:c r="D17" s="2" t="n">
        <x:f>IF(B17="",0,LEN(B17)-LEN(SUBSTITUTE(B17,",",""))+1)</x:f>
        <x:v>2</x:v>
      </x:c>
      <x:c r="E17" s="14" t="n">
        <x:f>MAX(P17:W17)</x:f>
        <x:v>46307</x:v>
      </x:c>
      <x:c r="F17" s="2" t="n">
        <x:f>COUNTIFS(P17:W17,"BAD ID")</x:f>
        <x:v>0</x:v>
      </x:c>
      <x:c r="G17" s="2" t="str">
        <x:f>IF(D17&gt;8,"TOO MANY",IF(F17&gt;0,"BAD ID",IF(C17&gt;=E17,"OK","LATE")))</x:f>
        <x:v>OK</x:v>
      </x:c>
      <x:c r="H17" s="2" t="str">
        <x:f>TRIM(MID(SUBSTITUTE($B17,",",REPT(" ",100)),1,100))</x:f>
        <x:v>BL-A-01</x:v>
      </x:c>
      <x:c r="I17" s="2" t="str">
        <x:f>TRIM(MID(SUBSTITUTE($B17,",",REPT(" ",100)),101,100))</x:f>
        <x:v>PROC-02</x:v>
      </x:c>
      <x:c r="J17" s="2" t="str">
        <x:f>TRIM(MID(SUBSTITUTE($B17,",",REPT(" ",100)),201,100))</x:f>
      </x:c>
      <x:c r="K17" s="2" t="str">
        <x:f>TRIM(MID(SUBSTITUTE($B17,",",REPT(" ",100)),301,100))</x:f>
      </x:c>
      <x:c r="L17" s="2" t="str">
        <x:f>TRIM(MID(SUBSTITUTE($B17,",",REPT(" ",100)),401,100))</x:f>
      </x:c>
      <x:c r="M17" s="2" t="str">
        <x:f>TRIM(MID(SUBSTITUTE($B17,",",REPT(" ",100)),501,100))</x:f>
      </x:c>
      <x:c r="N17" s="2" t="str">
        <x:f>TRIM(MID(SUBSTITUTE($B17,",",REPT(" ",100)),601,100))</x:f>
      </x:c>
      <x:c r="O17" s="2" t="str">
        <x:f>TRIM(MID(SUBSTITUTE($B17,",",REPT(" ",100)),701,100))</x:f>
      </x:c>
      <x:c r="P17" s="14" t="n">
        <x:f>IF(H17="",0,IF(COUNTIFS('Tasks'!$A$2:$A$224,H17)=1,INDEX('Tasks'!$M$2:$M$224,MATCH(H17,'Tasks'!$A$2:$A$224,0)),"BAD ID"))</x:f>
        <x:v>46307</x:v>
      </x:c>
      <x:c r="Q17" s="14" t="n">
        <x:f>IF(I17="",0,IF(COUNTIFS('Tasks'!$A$2:$A$224,I17)=1,INDEX('Tasks'!$M$2:$M$224,MATCH(I17,'Tasks'!$A$2:$A$224,0)),"BAD ID"))</x:f>
        <x:v>46307</x:v>
      </x:c>
      <x:c r="R17" s="14" t="n">
        <x:f>IF(J17="",0,IF(COUNTIFS('Tasks'!$A$2:$A$224,J17)=1,INDEX('Tasks'!$M$2:$M$224,MATCH(J17,'Tasks'!$A$2:$A$224,0)),"BAD ID"))</x:f>
        <x:v>0</x:v>
      </x:c>
      <x:c r="S17" s="14" t="n">
        <x:f>IF(K17="",0,IF(COUNTIFS('Tasks'!$A$2:$A$224,K17)=1,INDEX('Tasks'!$M$2:$M$224,MATCH(K17,'Tasks'!$A$2:$A$224,0)),"BAD ID"))</x:f>
        <x:v>0</x:v>
      </x:c>
      <x:c r="T17" s="14" t="n">
        <x:f>IF(L17="",0,IF(COUNTIFS('Tasks'!$A$2:$A$224,L17)=1,INDEX('Tasks'!$M$2:$M$224,MATCH(L17,'Tasks'!$A$2:$A$224,0)),"BAD ID"))</x:f>
        <x:v>0</x:v>
      </x:c>
      <x:c r="U17" s="14" t="n">
        <x:f>IF(M17="",0,IF(COUNTIFS('Tasks'!$A$2:$A$224,M17)=1,INDEX('Tasks'!$M$2:$M$224,MATCH(M17,'Tasks'!$A$2:$A$224,0)),"BAD ID"))</x:f>
        <x:v>0</x:v>
      </x:c>
      <x:c r="V17" s="14" t="n">
        <x:f>IF(N17="",0,IF(COUNTIFS('Tasks'!$A$2:$A$224,N17)=1,INDEX('Tasks'!$M$2:$M$224,MATCH(N17,'Tasks'!$A$2:$A$224,0)),"BAD ID"))</x:f>
        <x:v>0</x:v>
      </x:c>
      <x:c r="W17" s="14" t="n">
        <x:f>IF(O17="",0,IF(COUNTIFS('Tasks'!$A$2:$A$224,O17)=1,INDEX('Tasks'!$M$2:$M$224,MATCH(O17,'Tasks'!$A$2:$A$224,0)),"BAD ID"))</x:f>
        <x:v>0</x:v>
      </x:c>
    </x:row>
    <x:row r="18" ht="28" customHeight="1">
      <x:c r="A18" s="2" t="str">
        <x:v>TEST-01</x:v>
      </x:c>
      <x:c r="B18" s="2" t="str">
        <x:f>IF(VLOOKUP(A18,'Tasks'!$A$2:$X$224,15,FALSE)="","",VLOOKUP(A18,'Tasks'!$A$2:$X$224,15,FALSE))</x:f>
        <x:v>BL-E-01,RV-03,RV-01</x:v>
      </x:c>
      <x:c r="C18" s="13" t="n">
        <x:f>VLOOKUP(A18,'Tasks'!$A$2:$X$224,12,FALSE)</x:f>
        <x:v>46309</x:v>
      </x:c>
      <x:c r="D18" s="2" t="n">
        <x:f>IF(B18="",0,LEN(B18)-LEN(SUBSTITUTE(B18,",",""))+1)</x:f>
        <x:v>3</x:v>
      </x:c>
      <x:c r="E18" s="14" t="n">
        <x:f>MAX(P18:W18)</x:f>
        <x:v>46308</x:v>
      </x:c>
      <x:c r="F18" s="2" t="n">
        <x:f>COUNTIFS(P18:W18,"BAD ID")</x:f>
        <x:v>0</x:v>
      </x:c>
      <x:c r="G18" s="2" t="str">
        <x:f>IF(D18&gt;8,"TOO MANY",IF(F18&gt;0,"BAD ID",IF(C18&gt;=E18,"OK","LATE")))</x:f>
        <x:v>OK</x:v>
      </x:c>
      <x:c r="H18" s="2" t="str">
        <x:f>TRIM(MID(SUBSTITUTE($B18,",",REPT(" ",100)),1,100))</x:f>
        <x:v>BL-E-01</x:v>
      </x:c>
      <x:c r="I18" s="2" t="str">
        <x:f>TRIM(MID(SUBSTITUTE($B18,",",REPT(" ",100)),101,100))</x:f>
        <x:v>RV-03</x:v>
      </x:c>
      <x:c r="J18" s="2" t="str">
        <x:f>TRIM(MID(SUBSTITUTE($B18,",",REPT(" ",100)),201,100))</x:f>
        <x:v>RV-01</x:v>
      </x:c>
      <x:c r="K18" s="2" t="str">
        <x:f>TRIM(MID(SUBSTITUTE($B18,",",REPT(" ",100)),301,100))</x:f>
      </x:c>
      <x:c r="L18" s="2" t="str">
        <x:f>TRIM(MID(SUBSTITUTE($B18,",",REPT(" ",100)),401,100))</x:f>
      </x:c>
      <x:c r="M18" s="2" t="str">
        <x:f>TRIM(MID(SUBSTITUTE($B18,",",REPT(" ",100)),501,100))</x:f>
      </x:c>
      <x:c r="N18" s="2" t="str">
        <x:f>TRIM(MID(SUBSTITUTE($B18,",",REPT(" ",100)),601,100))</x:f>
      </x:c>
      <x:c r="O18" s="2" t="str">
        <x:f>TRIM(MID(SUBSTITUTE($B18,",",REPT(" ",100)),701,100))</x:f>
      </x:c>
      <x:c r="P18" s="14" t="n">
        <x:f>IF(H18="",0,IF(COUNTIFS('Tasks'!$A$2:$A$224,H18)=1,INDEX('Tasks'!$M$2:$M$224,MATCH(H18,'Tasks'!$A$2:$A$224,0)),"BAD ID"))</x:f>
        <x:v>46308</x:v>
      </x:c>
      <x:c r="Q18" s="14" t="n">
        <x:f>IF(I18="",0,IF(COUNTIFS('Tasks'!$A$2:$A$224,I18)=1,INDEX('Tasks'!$M$2:$M$224,MATCH(I18,'Tasks'!$A$2:$A$224,0)),"BAD ID"))</x:f>
        <x:v>46308</x:v>
      </x:c>
      <x:c r="R18" s="14" t="n">
        <x:f>IF(J18="",0,IF(COUNTIFS('Tasks'!$A$2:$A$224,J18)=1,INDEX('Tasks'!$M$2:$M$224,MATCH(J18,'Tasks'!$A$2:$A$224,0)),"BAD ID"))</x:f>
        <x:v>46307</x:v>
      </x:c>
      <x:c r="S18" s="14" t="n">
        <x:f>IF(K18="",0,IF(COUNTIFS('Tasks'!$A$2:$A$224,K18)=1,INDEX('Tasks'!$M$2:$M$224,MATCH(K18,'Tasks'!$A$2:$A$224,0)),"BAD ID"))</x:f>
        <x:v>0</x:v>
      </x:c>
      <x:c r="T18" s="14" t="n">
        <x:f>IF(L18="",0,IF(COUNTIFS('Tasks'!$A$2:$A$224,L18)=1,INDEX('Tasks'!$M$2:$M$224,MATCH(L18,'Tasks'!$A$2:$A$224,0)),"BAD ID"))</x:f>
        <x:v>0</x:v>
      </x:c>
      <x:c r="U18" s="14" t="n">
        <x:f>IF(M18="",0,IF(COUNTIFS('Tasks'!$A$2:$A$224,M18)=1,INDEX('Tasks'!$M$2:$M$224,MATCH(M18,'Tasks'!$A$2:$A$224,0)),"BAD ID"))</x:f>
        <x:v>0</x:v>
      </x:c>
      <x:c r="V18" s="14" t="n">
        <x:f>IF(N18="",0,IF(COUNTIFS('Tasks'!$A$2:$A$224,N18)=1,INDEX('Tasks'!$M$2:$M$224,MATCH(N18,'Tasks'!$A$2:$A$224,0)),"BAD ID"))</x:f>
        <x:v>0</x:v>
      </x:c>
      <x:c r="W18" s="14" t="n">
        <x:f>IF(O18="",0,IF(COUNTIFS('Tasks'!$A$2:$A$224,O18)=1,INDEX('Tasks'!$M$2:$M$224,MATCH(O18,'Tasks'!$A$2:$A$224,0)),"BAD ID"))</x:f>
        <x:v>0</x:v>
      </x:c>
    </x:row>
    <x:row r="19" ht="28" customHeight="1">
      <x:c r="A19" s="2" t="str">
        <x:v>RV-04</x:v>
      </x:c>
      <x:c r="B19" s="2" t="str">
        <x:f>IF(VLOOKUP(A19,'Tasks'!$A$2:$X$224,15,FALSE)="","",VLOOKUP(A19,'Tasks'!$A$2:$X$224,15,FALSE))</x:f>
        <x:v>BL-C-02,BL-D-02</x:v>
      </x:c>
      <x:c r="C19" s="13" t="n">
        <x:f>VLOOKUP(A19,'Tasks'!$A$2:$X$224,12,FALSE)</x:f>
        <x:v>46309</x:v>
      </x:c>
      <x:c r="D19" s="2" t="n">
        <x:f>IF(B19="",0,LEN(B19)-LEN(SUBSTITUTE(B19,",",""))+1)</x:f>
        <x:v>2</x:v>
      </x:c>
      <x:c r="E19" s="14" t="n">
        <x:f>MAX(P19:W19)</x:f>
        <x:v>46308</x:v>
      </x:c>
      <x:c r="F19" s="2" t="n">
        <x:f>COUNTIFS(P19:W19,"BAD ID")</x:f>
        <x:v>0</x:v>
      </x:c>
      <x:c r="G19" s="2" t="str">
        <x:f>IF(D19&gt;8,"TOO MANY",IF(F19&gt;0,"BAD ID",IF(C19&gt;=E19,"OK","LATE")))</x:f>
        <x:v>OK</x:v>
      </x:c>
      <x:c r="H19" s="2" t="str">
        <x:f>TRIM(MID(SUBSTITUTE($B19,",",REPT(" ",100)),1,100))</x:f>
        <x:v>BL-C-02</x:v>
      </x:c>
      <x:c r="I19" s="2" t="str">
        <x:f>TRIM(MID(SUBSTITUTE($B19,",",REPT(" ",100)),101,100))</x:f>
        <x:v>BL-D-02</x:v>
      </x:c>
      <x:c r="J19" s="2" t="str">
        <x:f>TRIM(MID(SUBSTITUTE($B19,",",REPT(" ",100)),201,100))</x:f>
      </x:c>
      <x:c r="K19" s="2" t="str">
        <x:f>TRIM(MID(SUBSTITUTE($B19,",",REPT(" ",100)),301,100))</x:f>
      </x:c>
      <x:c r="L19" s="2" t="str">
        <x:f>TRIM(MID(SUBSTITUTE($B19,",",REPT(" ",100)),401,100))</x:f>
      </x:c>
      <x:c r="M19" s="2" t="str">
        <x:f>TRIM(MID(SUBSTITUTE($B19,",",REPT(" ",100)),501,100))</x:f>
      </x:c>
      <x:c r="N19" s="2" t="str">
        <x:f>TRIM(MID(SUBSTITUTE($B19,",",REPT(" ",100)),601,100))</x:f>
      </x:c>
      <x:c r="O19" s="2" t="str">
        <x:f>TRIM(MID(SUBSTITUTE($B19,",",REPT(" ",100)),701,100))</x:f>
      </x:c>
      <x:c r="P19" s="14" t="n">
        <x:f>IF(H19="",0,IF(COUNTIFS('Tasks'!$A$2:$A$224,H19)=1,INDEX('Tasks'!$M$2:$M$224,MATCH(H19,'Tasks'!$A$2:$A$224,0)),"BAD ID"))</x:f>
        <x:v>46308</x:v>
      </x:c>
      <x:c r="Q19" s="14" t="n">
        <x:f>IF(I19="",0,IF(COUNTIFS('Tasks'!$A$2:$A$224,I19)=1,INDEX('Tasks'!$M$2:$M$224,MATCH(I19,'Tasks'!$A$2:$A$224,0)),"BAD ID"))</x:f>
        <x:v>46308</x:v>
      </x:c>
      <x:c r="R19" s="14" t="n">
        <x:f>IF(J19="",0,IF(COUNTIFS('Tasks'!$A$2:$A$224,J19)=1,INDEX('Tasks'!$M$2:$M$224,MATCH(J19,'Tasks'!$A$2:$A$224,0)),"BAD ID"))</x:f>
        <x:v>0</x:v>
      </x:c>
      <x:c r="S19" s="14" t="n">
        <x:f>IF(K19="",0,IF(COUNTIFS('Tasks'!$A$2:$A$224,K19)=1,INDEX('Tasks'!$M$2:$M$224,MATCH(K19,'Tasks'!$A$2:$A$224,0)),"BAD ID"))</x:f>
        <x:v>0</x:v>
      </x:c>
      <x:c r="T19" s="14" t="n">
        <x:f>IF(L19="",0,IF(COUNTIFS('Tasks'!$A$2:$A$224,L19)=1,INDEX('Tasks'!$M$2:$M$224,MATCH(L19,'Tasks'!$A$2:$A$224,0)),"BAD ID"))</x:f>
        <x:v>0</x:v>
      </x:c>
      <x:c r="U19" s="14" t="n">
        <x:f>IF(M19="",0,IF(COUNTIFS('Tasks'!$A$2:$A$224,M19)=1,INDEX('Tasks'!$M$2:$M$224,MATCH(M19,'Tasks'!$A$2:$A$224,0)),"BAD ID"))</x:f>
        <x:v>0</x:v>
      </x:c>
      <x:c r="V19" s="14" t="n">
        <x:f>IF(N19="",0,IF(COUNTIFS('Tasks'!$A$2:$A$224,N19)=1,INDEX('Tasks'!$M$2:$M$224,MATCH(N19,'Tasks'!$A$2:$A$224,0)),"BAD ID"))</x:f>
        <x:v>0</x:v>
      </x:c>
      <x:c r="W19" s="14" t="n">
        <x:f>IF(O19="",0,IF(COUNTIFS('Tasks'!$A$2:$A$224,O19)=1,INDEX('Tasks'!$M$2:$M$224,MATCH(O19,'Tasks'!$A$2:$A$224,0)),"BAD ID"))</x:f>
        <x:v>0</x:v>
      </x:c>
    </x:row>
    <x:row r="20" ht="28" customHeight="1">
      <x:c r="A20" s="2" t="str">
        <x:v>RV-05</x:v>
      </x:c>
      <x:c r="B20" s="2" t="str">
        <x:f>IF(VLOOKUP(A20,'Tasks'!$A$2:$X$224,15,FALSE)="","",VLOOKUP(A20,'Tasks'!$A$2:$X$224,15,FALSE))</x:f>
        <x:v>BL-F-02</x:v>
      </x:c>
      <x:c r="C20" s="13" t="n">
        <x:f>VLOOKUP(A20,'Tasks'!$A$2:$X$224,12,FALSE)</x:f>
        <x:v>46309</x:v>
      </x:c>
      <x:c r="D20" s="2" t="n">
        <x:f>IF(B20="",0,LEN(B20)-LEN(SUBSTITUTE(B20,",",""))+1)</x:f>
        <x:v>1</x:v>
      </x:c>
      <x:c r="E20" s="14" t="n">
        <x:f>MAX(P20:W20)</x:f>
        <x:v>46308</x:v>
      </x:c>
      <x:c r="F20" s="2" t="n">
        <x:f>COUNTIFS(P20:W20,"BAD ID")</x:f>
        <x:v>0</x:v>
      </x:c>
      <x:c r="G20" s="2" t="str">
        <x:f>IF(D20&gt;8,"TOO MANY",IF(F20&gt;0,"BAD ID",IF(C20&gt;=E20,"OK","LATE")))</x:f>
        <x:v>OK</x:v>
      </x:c>
      <x:c r="H20" s="2" t="str">
        <x:f>TRIM(MID(SUBSTITUTE($B20,",",REPT(" ",100)),1,100))</x:f>
        <x:v>BL-F-02</x:v>
      </x:c>
      <x:c r="I20" s="2" t="str">
        <x:f>TRIM(MID(SUBSTITUTE($B20,",",REPT(" ",100)),101,100))</x:f>
      </x:c>
      <x:c r="J20" s="2" t="str">
        <x:f>TRIM(MID(SUBSTITUTE($B20,",",REPT(" ",100)),201,100))</x:f>
      </x:c>
      <x:c r="K20" s="2" t="str">
        <x:f>TRIM(MID(SUBSTITUTE($B20,",",REPT(" ",100)),301,100))</x:f>
      </x:c>
      <x:c r="L20" s="2" t="str">
        <x:f>TRIM(MID(SUBSTITUTE($B20,",",REPT(" ",100)),401,100))</x:f>
      </x:c>
      <x:c r="M20" s="2" t="str">
        <x:f>TRIM(MID(SUBSTITUTE($B20,",",REPT(" ",100)),501,100))</x:f>
      </x:c>
      <x:c r="N20" s="2" t="str">
        <x:f>TRIM(MID(SUBSTITUTE($B20,",",REPT(" ",100)),601,100))</x:f>
      </x:c>
      <x:c r="O20" s="2" t="str">
        <x:f>TRIM(MID(SUBSTITUTE($B20,",",REPT(" ",100)),701,100))</x:f>
      </x:c>
      <x:c r="P20" s="14" t="n">
        <x:f>IF(H20="",0,IF(COUNTIFS('Tasks'!$A$2:$A$224,H20)=1,INDEX('Tasks'!$M$2:$M$224,MATCH(H20,'Tasks'!$A$2:$A$224,0)),"BAD ID"))</x:f>
        <x:v>46308</x:v>
      </x:c>
      <x:c r="Q20" s="14" t="n">
        <x:f>IF(I20="",0,IF(COUNTIFS('Tasks'!$A$2:$A$224,I20)=1,INDEX('Tasks'!$M$2:$M$224,MATCH(I20,'Tasks'!$A$2:$A$224,0)),"BAD ID"))</x:f>
        <x:v>0</x:v>
      </x:c>
      <x:c r="R20" s="14" t="n">
        <x:f>IF(J20="",0,IF(COUNTIFS('Tasks'!$A$2:$A$224,J20)=1,INDEX('Tasks'!$M$2:$M$224,MATCH(J20,'Tasks'!$A$2:$A$224,0)),"BAD ID"))</x:f>
        <x:v>0</x:v>
      </x:c>
      <x:c r="S20" s="14" t="n">
        <x:f>IF(K20="",0,IF(COUNTIFS('Tasks'!$A$2:$A$224,K20)=1,INDEX('Tasks'!$M$2:$M$224,MATCH(K20,'Tasks'!$A$2:$A$224,0)),"BAD ID"))</x:f>
        <x:v>0</x:v>
      </x:c>
      <x:c r="T20" s="14" t="n">
        <x:f>IF(L20="",0,IF(COUNTIFS('Tasks'!$A$2:$A$224,L20)=1,INDEX('Tasks'!$M$2:$M$224,MATCH(L20,'Tasks'!$A$2:$A$224,0)),"BAD ID"))</x:f>
        <x:v>0</x:v>
      </x:c>
      <x:c r="U20" s="14" t="n">
        <x:f>IF(M20="",0,IF(COUNTIFS('Tasks'!$A$2:$A$224,M20)=1,INDEX('Tasks'!$M$2:$M$224,MATCH(M20,'Tasks'!$A$2:$A$224,0)),"BAD ID"))</x:f>
        <x:v>0</x:v>
      </x:c>
      <x:c r="V20" s="14" t="n">
        <x:f>IF(N20="",0,IF(COUNTIFS('Tasks'!$A$2:$A$224,N20)=1,INDEX('Tasks'!$M$2:$M$224,MATCH(N20,'Tasks'!$A$2:$A$224,0)),"BAD ID"))</x:f>
        <x:v>0</x:v>
      </x:c>
      <x:c r="W20" s="14" t="n">
        <x:f>IF(O20="",0,IF(COUNTIFS('Tasks'!$A$2:$A$224,O20)=1,INDEX('Tasks'!$M$2:$M$224,MATCH(O20,'Tasks'!$A$2:$A$224,0)),"BAD ID"))</x:f>
        <x:v>0</x:v>
      </x:c>
    </x:row>
    <x:row r="21" ht="28" customHeight="1">
      <x:c r="A21" s="2" t="str">
        <x:v>G0-01</x:v>
      </x:c>
      <x:c r="B21" s="2" t="str">
        <x:f>IF(VLOOKUP(A21,'Tasks'!$A$2:$X$224,15,FALSE)="","",VLOOKUP(A21,'Tasks'!$A$2:$X$224,15,FALSE))</x:f>
        <x:v>PROC-01,PROC-03,RV-03,BL-F-02,BL-A-02,BL-B-01,TEST-01</x:v>
      </x:c>
      <x:c r="C21" s="13" t="n">
        <x:f>VLOOKUP(A21,'Tasks'!$A$2:$X$224,12,FALSE)</x:f>
        <x:v>46309</x:v>
      </x:c>
      <x:c r="D21" s="2" t="n">
        <x:f>IF(B21="",0,LEN(B21)-LEN(SUBSTITUTE(B21,",",""))+1)</x:f>
        <x:v>7</x:v>
      </x:c>
      <x:c r="E21" s="14" t="n">
        <x:f>MAX(P21:W21)</x:f>
        <x:v>46309</x:v>
      </x:c>
      <x:c r="F21" s="2" t="n">
        <x:f>COUNTIFS(P21:W21,"BAD ID")</x:f>
        <x:v>0</x:v>
      </x:c>
      <x:c r="G21" s="2" t="str">
        <x:f>IF(D21&gt;8,"TOO MANY",IF(F21&gt;0,"BAD ID",IF(C21&gt;=E21,"OK","LATE")))</x:f>
        <x:v>OK</x:v>
      </x:c>
      <x:c r="H21" s="2" t="str">
        <x:f>TRIM(MID(SUBSTITUTE($B21,",",REPT(" ",100)),1,100))</x:f>
        <x:v>PROC-01</x:v>
      </x:c>
      <x:c r="I21" s="2" t="str">
        <x:f>TRIM(MID(SUBSTITUTE($B21,",",REPT(" ",100)),101,100))</x:f>
        <x:v>PROC-03</x:v>
      </x:c>
      <x:c r="J21" s="2" t="str">
        <x:f>TRIM(MID(SUBSTITUTE($B21,",",REPT(" ",100)),201,100))</x:f>
        <x:v>RV-03</x:v>
      </x:c>
      <x:c r="K21" s="2" t="str">
        <x:f>TRIM(MID(SUBSTITUTE($B21,",",REPT(" ",100)),301,100))</x:f>
        <x:v>BL-F-02</x:v>
      </x:c>
      <x:c r="L21" s="2" t="str">
        <x:f>TRIM(MID(SUBSTITUTE($B21,",",REPT(" ",100)),401,100))</x:f>
        <x:v>BL-A-02</x:v>
      </x:c>
      <x:c r="M21" s="2" t="str">
        <x:f>TRIM(MID(SUBSTITUTE($B21,",",REPT(" ",100)),501,100))</x:f>
        <x:v>BL-B-01</x:v>
      </x:c>
      <x:c r="N21" s="2" t="str">
        <x:f>TRIM(MID(SUBSTITUTE($B21,",",REPT(" ",100)),601,100))</x:f>
        <x:v>TEST-01</x:v>
      </x:c>
      <x:c r="O21" s="2" t="str">
        <x:f>TRIM(MID(SUBSTITUTE($B21,",",REPT(" ",100)),701,100))</x:f>
      </x:c>
      <x:c r="P21" s="14" t="n">
        <x:f>IF(H21="",0,IF(COUNTIFS('Tasks'!$A$2:$A$224,H21)=1,INDEX('Tasks'!$M$2:$M$224,MATCH(H21,'Tasks'!$A$2:$A$224,0)),"BAD ID"))</x:f>
        <x:v>46307</x:v>
      </x:c>
      <x:c r="Q21" s="14" t="n">
        <x:f>IF(I21="",0,IF(COUNTIFS('Tasks'!$A$2:$A$224,I21)=1,INDEX('Tasks'!$M$2:$M$224,MATCH(I21,'Tasks'!$A$2:$A$224,0)),"BAD ID"))</x:f>
        <x:v>46308</x:v>
      </x:c>
      <x:c r="R21" s="14" t="n">
        <x:f>IF(J21="",0,IF(COUNTIFS('Tasks'!$A$2:$A$224,J21)=1,INDEX('Tasks'!$M$2:$M$224,MATCH(J21,'Tasks'!$A$2:$A$224,0)),"BAD ID"))</x:f>
        <x:v>46308</x:v>
      </x:c>
      <x:c r="S21" s="14" t="n">
        <x:f>IF(K21="",0,IF(COUNTIFS('Tasks'!$A$2:$A$224,K21)=1,INDEX('Tasks'!$M$2:$M$224,MATCH(K21,'Tasks'!$A$2:$A$224,0)),"BAD ID"))</x:f>
        <x:v>46308</x:v>
      </x:c>
      <x:c r="T21" s="14" t="n">
        <x:f>IF(L21="",0,IF(COUNTIFS('Tasks'!$A$2:$A$224,L21)=1,INDEX('Tasks'!$M$2:$M$224,MATCH(L21,'Tasks'!$A$2:$A$224,0)),"BAD ID"))</x:f>
        <x:v>46308</x:v>
      </x:c>
      <x:c r="U21" s="14" t="n">
        <x:f>IF(M21="",0,IF(COUNTIFS('Tasks'!$A$2:$A$224,M21)=1,INDEX('Tasks'!$M$2:$M$224,MATCH(M21,'Tasks'!$A$2:$A$224,0)),"BAD ID"))</x:f>
        <x:v>46308</x:v>
      </x:c>
      <x:c r="V21" s="14" t="n">
        <x:f>IF(N21="",0,IF(COUNTIFS('Tasks'!$A$2:$A$224,N21)=1,INDEX('Tasks'!$M$2:$M$224,MATCH(N21,'Tasks'!$A$2:$A$224,0)),"BAD ID"))</x:f>
        <x:v>46309</x:v>
      </x:c>
      <x:c r="W21" s="14" t="n">
        <x:f>IF(O21="",0,IF(COUNTIFS('Tasks'!$A$2:$A$224,O21)=1,INDEX('Tasks'!$M$2:$M$224,MATCH(O21,'Tasks'!$A$2:$A$224,0)),"BAD ID"))</x:f>
        <x:v>0</x:v>
      </x:c>
    </x:row>
    <x:row r="22" ht="28" customHeight="1">
      <x:c r="A22" s="2" t="str">
        <x:v>BL-B-02</x:v>
      </x:c>
      <x:c r="B22" s="2" t="str">
        <x:f>IF(VLOOKUP(A22,'Tasks'!$A$2:$X$224,15,FALSE)="","",VLOOKUP(A22,'Tasks'!$A$2:$X$224,15,FALSE))</x:f>
        <x:v>BL-B-01,BL-D-02</x:v>
      </x:c>
      <x:c r="C22" s="13" t="n">
        <x:f>VLOOKUP(A22,'Tasks'!$A$2:$X$224,12,FALSE)</x:f>
        <x:v>46309</x:v>
      </x:c>
      <x:c r="D22" s="2" t="n">
        <x:f>IF(B22="",0,LEN(B22)-LEN(SUBSTITUTE(B22,",",""))+1)</x:f>
        <x:v>2</x:v>
      </x:c>
      <x:c r="E22" s="14" t="n">
        <x:f>MAX(P22:W22)</x:f>
        <x:v>46308</x:v>
      </x:c>
      <x:c r="F22" s="2" t="n">
        <x:f>COUNTIFS(P22:W22,"BAD ID")</x:f>
        <x:v>0</x:v>
      </x:c>
      <x:c r="G22" s="2" t="str">
        <x:f>IF(D22&gt;8,"TOO MANY",IF(F22&gt;0,"BAD ID",IF(C22&gt;=E22,"OK","LATE")))</x:f>
        <x:v>OK</x:v>
      </x:c>
      <x:c r="H22" s="2" t="str">
        <x:f>TRIM(MID(SUBSTITUTE($B22,",",REPT(" ",100)),1,100))</x:f>
        <x:v>BL-B-01</x:v>
      </x:c>
      <x:c r="I22" s="2" t="str">
        <x:f>TRIM(MID(SUBSTITUTE($B22,",",REPT(" ",100)),101,100))</x:f>
        <x:v>BL-D-02</x:v>
      </x:c>
      <x:c r="J22" s="2" t="str">
        <x:f>TRIM(MID(SUBSTITUTE($B22,",",REPT(" ",100)),201,100))</x:f>
      </x:c>
      <x:c r="K22" s="2" t="str">
        <x:f>TRIM(MID(SUBSTITUTE($B22,",",REPT(" ",100)),301,100))</x:f>
      </x:c>
      <x:c r="L22" s="2" t="str">
        <x:f>TRIM(MID(SUBSTITUTE($B22,",",REPT(" ",100)),401,100))</x:f>
      </x:c>
      <x:c r="M22" s="2" t="str">
        <x:f>TRIM(MID(SUBSTITUTE($B22,",",REPT(" ",100)),501,100))</x:f>
      </x:c>
      <x:c r="N22" s="2" t="str">
        <x:f>TRIM(MID(SUBSTITUTE($B22,",",REPT(" ",100)),601,100))</x:f>
      </x:c>
      <x:c r="O22" s="2" t="str">
        <x:f>TRIM(MID(SUBSTITUTE($B22,",",REPT(" ",100)),701,100))</x:f>
      </x:c>
      <x:c r="P22" s="14" t="n">
        <x:f>IF(H22="",0,IF(COUNTIFS('Tasks'!$A$2:$A$224,H22)=1,INDEX('Tasks'!$M$2:$M$224,MATCH(H22,'Tasks'!$A$2:$A$224,0)),"BAD ID"))</x:f>
        <x:v>46308</x:v>
      </x:c>
      <x:c r="Q22" s="14" t="n">
        <x:f>IF(I22="",0,IF(COUNTIFS('Tasks'!$A$2:$A$224,I22)=1,INDEX('Tasks'!$M$2:$M$224,MATCH(I22,'Tasks'!$A$2:$A$224,0)),"BAD ID"))</x:f>
        <x:v>46308</x:v>
      </x:c>
      <x:c r="R22" s="14" t="n">
        <x:f>IF(J22="",0,IF(COUNTIFS('Tasks'!$A$2:$A$224,J22)=1,INDEX('Tasks'!$M$2:$M$224,MATCH(J22,'Tasks'!$A$2:$A$224,0)),"BAD ID"))</x:f>
        <x:v>0</x:v>
      </x:c>
      <x:c r="S22" s="14" t="n">
        <x:f>IF(K22="",0,IF(COUNTIFS('Tasks'!$A$2:$A$224,K22)=1,INDEX('Tasks'!$M$2:$M$224,MATCH(K22,'Tasks'!$A$2:$A$224,0)),"BAD ID"))</x:f>
        <x:v>0</x:v>
      </x:c>
      <x:c r="T22" s="14" t="n">
        <x:f>IF(L22="",0,IF(COUNTIFS('Tasks'!$A$2:$A$224,L22)=1,INDEX('Tasks'!$M$2:$M$224,MATCH(L22,'Tasks'!$A$2:$A$224,0)),"BAD ID"))</x:f>
        <x:v>0</x:v>
      </x:c>
      <x:c r="U22" s="14" t="n">
        <x:f>IF(M22="",0,IF(COUNTIFS('Tasks'!$A$2:$A$224,M22)=1,INDEX('Tasks'!$M$2:$M$224,MATCH(M22,'Tasks'!$A$2:$A$224,0)),"BAD ID"))</x:f>
        <x:v>0</x:v>
      </x:c>
      <x:c r="V22" s="14" t="n">
        <x:f>IF(N22="",0,IF(COUNTIFS('Tasks'!$A$2:$A$224,N22)=1,INDEX('Tasks'!$M$2:$M$224,MATCH(N22,'Tasks'!$A$2:$A$224,0)),"BAD ID"))</x:f>
        <x:v>0</x:v>
      </x:c>
      <x:c r="W22" s="14" t="n">
        <x:f>IF(O22="",0,IF(COUNTIFS('Tasks'!$A$2:$A$224,O22)=1,INDEX('Tasks'!$M$2:$M$224,MATCH(O22,'Tasks'!$A$2:$A$224,0)),"BAD ID"))</x:f>
        <x:v>0</x:v>
      </x:c>
    </x:row>
    <x:row r="23" ht="28" customHeight="1">
      <x:c r="A23" s="2" t="str">
        <x:v>BL-A-03</x:v>
      </x:c>
      <x:c r="B23" s="2" t="str">
        <x:f>IF(VLOOKUP(A23,'Tasks'!$A$2:$X$224,15,FALSE)="","",VLOOKUP(A23,'Tasks'!$A$2:$X$224,15,FALSE))</x:f>
        <x:v>BL-A-02</x:v>
      </x:c>
      <x:c r="C23" s="13" t="n">
        <x:f>VLOOKUP(A23,'Tasks'!$A$2:$X$224,12,FALSE)</x:f>
        <x:v>46309</x:v>
      </x:c>
      <x:c r="D23" s="2" t="n">
        <x:f>IF(B23="",0,LEN(B23)-LEN(SUBSTITUTE(B23,",",""))+1)</x:f>
        <x:v>1</x:v>
      </x:c>
      <x:c r="E23" s="14" t="n">
        <x:f>MAX(P23:W23)</x:f>
        <x:v>46308</x:v>
      </x:c>
      <x:c r="F23" s="2" t="n">
        <x:f>COUNTIFS(P23:W23,"BAD ID")</x:f>
        <x:v>0</x:v>
      </x:c>
      <x:c r="G23" s="2" t="str">
        <x:f>IF(D23&gt;8,"TOO MANY",IF(F23&gt;0,"BAD ID",IF(C23&gt;=E23,"OK","LATE")))</x:f>
        <x:v>OK</x:v>
      </x:c>
      <x:c r="H23" s="2" t="str">
        <x:f>TRIM(MID(SUBSTITUTE($B23,",",REPT(" ",100)),1,100))</x:f>
        <x:v>BL-A-02</x:v>
      </x:c>
      <x:c r="I23" s="2" t="str">
        <x:f>TRIM(MID(SUBSTITUTE($B23,",",REPT(" ",100)),101,100))</x:f>
      </x:c>
      <x:c r="J23" s="2" t="str">
        <x:f>TRIM(MID(SUBSTITUTE($B23,",",REPT(" ",100)),201,100))</x:f>
      </x:c>
      <x:c r="K23" s="2" t="str">
        <x:f>TRIM(MID(SUBSTITUTE($B23,",",REPT(" ",100)),301,100))</x:f>
      </x:c>
      <x:c r="L23" s="2" t="str">
        <x:f>TRIM(MID(SUBSTITUTE($B23,",",REPT(" ",100)),401,100))</x:f>
      </x:c>
      <x:c r="M23" s="2" t="str">
        <x:f>TRIM(MID(SUBSTITUTE($B23,",",REPT(" ",100)),501,100))</x:f>
      </x:c>
      <x:c r="N23" s="2" t="str">
        <x:f>TRIM(MID(SUBSTITUTE($B23,",",REPT(" ",100)),601,100))</x:f>
      </x:c>
      <x:c r="O23" s="2" t="str">
        <x:f>TRIM(MID(SUBSTITUTE($B23,",",REPT(" ",100)),701,100))</x:f>
      </x:c>
      <x:c r="P23" s="14" t="n">
        <x:f>IF(H23="",0,IF(COUNTIFS('Tasks'!$A$2:$A$224,H23)=1,INDEX('Tasks'!$M$2:$M$224,MATCH(H23,'Tasks'!$A$2:$A$224,0)),"BAD ID"))</x:f>
        <x:v>46308</x:v>
      </x:c>
      <x:c r="Q23" s="14" t="n">
        <x:f>IF(I23="",0,IF(COUNTIFS('Tasks'!$A$2:$A$224,I23)=1,INDEX('Tasks'!$M$2:$M$224,MATCH(I23,'Tasks'!$A$2:$A$224,0)),"BAD ID"))</x:f>
        <x:v>0</x:v>
      </x:c>
      <x:c r="R23" s="14" t="n">
        <x:f>IF(J23="",0,IF(COUNTIFS('Tasks'!$A$2:$A$224,J23)=1,INDEX('Tasks'!$M$2:$M$224,MATCH(J23,'Tasks'!$A$2:$A$224,0)),"BAD ID"))</x:f>
        <x:v>0</x:v>
      </x:c>
      <x:c r="S23" s="14" t="n">
        <x:f>IF(K23="",0,IF(COUNTIFS('Tasks'!$A$2:$A$224,K23)=1,INDEX('Tasks'!$M$2:$M$224,MATCH(K23,'Tasks'!$A$2:$A$224,0)),"BAD ID"))</x:f>
        <x:v>0</x:v>
      </x:c>
      <x:c r="T23" s="14" t="n">
        <x:f>IF(L23="",0,IF(COUNTIFS('Tasks'!$A$2:$A$224,L23)=1,INDEX('Tasks'!$M$2:$M$224,MATCH(L23,'Tasks'!$A$2:$A$224,0)),"BAD ID"))</x:f>
        <x:v>0</x:v>
      </x:c>
      <x:c r="U23" s="14" t="n">
        <x:f>IF(M23="",0,IF(COUNTIFS('Tasks'!$A$2:$A$224,M23)=1,INDEX('Tasks'!$M$2:$M$224,MATCH(M23,'Tasks'!$A$2:$A$224,0)),"BAD ID"))</x:f>
        <x:v>0</x:v>
      </x:c>
      <x:c r="V23" s="14" t="n">
        <x:f>IF(N23="",0,IF(COUNTIFS('Tasks'!$A$2:$A$224,N23)=1,INDEX('Tasks'!$M$2:$M$224,MATCH(N23,'Tasks'!$A$2:$A$224,0)),"BAD ID"))</x:f>
        <x:v>0</x:v>
      </x:c>
      <x:c r="W23" s="14" t="n">
        <x:f>IF(O23="",0,IF(COUNTIFS('Tasks'!$A$2:$A$224,O23)=1,INDEX('Tasks'!$M$2:$M$224,MATCH(O23,'Tasks'!$A$2:$A$224,0)),"BAD ID"))</x:f>
        <x:v>0</x:v>
      </x:c>
    </x:row>
    <x:row r="24" ht="28" customHeight="1">
      <x:c r="A24" s="2" t="str">
        <x:v>BL-D-03</x:v>
      </x:c>
      <x:c r="B24" s="2" t="str">
        <x:f>IF(VLOOKUP(A24,'Tasks'!$A$2:$X$224,15,FALSE)="","",VLOOKUP(A24,'Tasks'!$A$2:$X$224,15,FALSE))</x:f>
        <x:v>BL-D-02,RV-04</x:v>
      </x:c>
      <x:c r="C24" s="13" t="n">
        <x:f>VLOOKUP(A24,'Tasks'!$A$2:$X$224,12,FALSE)</x:f>
        <x:v>46309</x:v>
      </x:c>
      <x:c r="D24" s="2" t="n">
        <x:f>IF(B24="",0,LEN(B24)-LEN(SUBSTITUTE(B24,",",""))+1)</x:f>
        <x:v>2</x:v>
      </x:c>
      <x:c r="E24" s="14" t="n">
        <x:f>MAX(P24:W24)</x:f>
        <x:v>46309</x:v>
      </x:c>
      <x:c r="F24" s="2" t="n">
        <x:f>COUNTIFS(P24:W24,"BAD ID")</x:f>
        <x:v>0</x:v>
      </x:c>
      <x:c r="G24" s="2" t="str">
        <x:f>IF(D24&gt;8,"TOO MANY",IF(F24&gt;0,"BAD ID",IF(C24&gt;=E24,"OK","LATE")))</x:f>
        <x:v>OK</x:v>
      </x:c>
      <x:c r="H24" s="2" t="str">
        <x:f>TRIM(MID(SUBSTITUTE($B24,",",REPT(" ",100)),1,100))</x:f>
        <x:v>BL-D-02</x:v>
      </x:c>
      <x:c r="I24" s="2" t="str">
        <x:f>TRIM(MID(SUBSTITUTE($B24,",",REPT(" ",100)),101,100))</x:f>
        <x:v>RV-04</x:v>
      </x:c>
      <x:c r="J24" s="2" t="str">
        <x:f>TRIM(MID(SUBSTITUTE($B24,",",REPT(" ",100)),201,100))</x:f>
      </x:c>
      <x:c r="K24" s="2" t="str">
        <x:f>TRIM(MID(SUBSTITUTE($B24,",",REPT(" ",100)),301,100))</x:f>
      </x:c>
      <x:c r="L24" s="2" t="str">
        <x:f>TRIM(MID(SUBSTITUTE($B24,",",REPT(" ",100)),401,100))</x:f>
      </x:c>
      <x:c r="M24" s="2" t="str">
        <x:f>TRIM(MID(SUBSTITUTE($B24,",",REPT(" ",100)),501,100))</x:f>
      </x:c>
      <x:c r="N24" s="2" t="str">
        <x:f>TRIM(MID(SUBSTITUTE($B24,",",REPT(" ",100)),601,100))</x:f>
      </x:c>
      <x:c r="O24" s="2" t="str">
        <x:f>TRIM(MID(SUBSTITUTE($B24,",",REPT(" ",100)),701,100))</x:f>
      </x:c>
      <x:c r="P24" s="14" t="n">
        <x:f>IF(H24="",0,IF(COUNTIFS('Tasks'!$A$2:$A$224,H24)=1,INDEX('Tasks'!$M$2:$M$224,MATCH(H24,'Tasks'!$A$2:$A$224,0)),"BAD ID"))</x:f>
        <x:v>46308</x:v>
      </x:c>
      <x:c r="Q24" s="14" t="n">
        <x:f>IF(I24="",0,IF(COUNTIFS('Tasks'!$A$2:$A$224,I24)=1,INDEX('Tasks'!$M$2:$M$224,MATCH(I24,'Tasks'!$A$2:$A$224,0)),"BAD ID"))</x:f>
        <x:v>46309</x:v>
      </x:c>
      <x:c r="R24" s="14" t="n">
        <x:f>IF(J24="",0,IF(COUNTIFS('Tasks'!$A$2:$A$224,J24)=1,INDEX('Tasks'!$M$2:$M$224,MATCH(J24,'Tasks'!$A$2:$A$224,0)),"BAD ID"))</x:f>
        <x:v>0</x:v>
      </x:c>
      <x:c r="S24" s="14" t="n">
        <x:f>IF(K24="",0,IF(COUNTIFS('Tasks'!$A$2:$A$224,K24)=1,INDEX('Tasks'!$M$2:$M$224,MATCH(K24,'Tasks'!$A$2:$A$224,0)),"BAD ID"))</x:f>
        <x:v>0</x:v>
      </x:c>
      <x:c r="T24" s="14" t="n">
        <x:f>IF(L24="",0,IF(COUNTIFS('Tasks'!$A$2:$A$224,L24)=1,INDEX('Tasks'!$M$2:$M$224,MATCH(L24,'Tasks'!$A$2:$A$224,0)),"BAD ID"))</x:f>
        <x:v>0</x:v>
      </x:c>
      <x:c r="U24" s="14" t="n">
        <x:f>IF(M24="",0,IF(COUNTIFS('Tasks'!$A$2:$A$224,M24)=1,INDEX('Tasks'!$M$2:$M$224,MATCH(M24,'Tasks'!$A$2:$A$224,0)),"BAD ID"))</x:f>
        <x:v>0</x:v>
      </x:c>
      <x:c r="V24" s="14" t="n">
        <x:f>IF(N24="",0,IF(COUNTIFS('Tasks'!$A$2:$A$224,N24)=1,INDEX('Tasks'!$M$2:$M$224,MATCH(N24,'Tasks'!$A$2:$A$224,0)),"BAD ID"))</x:f>
        <x:v>0</x:v>
      </x:c>
      <x:c r="W24" s="14" t="n">
        <x:f>IF(O24="",0,IF(COUNTIFS('Tasks'!$A$2:$A$224,O24)=1,INDEX('Tasks'!$M$2:$M$224,MATCH(O24,'Tasks'!$A$2:$A$224,0)),"BAD ID"))</x:f>
        <x:v>0</x:v>
      </x:c>
    </x:row>
    <x:row r="25" ht="28" customHeight="1">
      <x:c r="A25" s="2" t="str">
        <x:v>BL-C-03</x:v>
      </x:c>
      <x:c r="B25" s="2" t="str">
        <x:f>IF(VLOOKUP(A25,'Tasks'!$A$2:$X$224,15,FALSE)="","",VLOOKUP(A25,'Tasks'!$A$2:$X$224,15,FALSE))</x:f>
        <x:v>BL-C-02,BL-C-01</x:v>
      </x:c>
      <x:c r="C25" s="13" t="n">
        <x:f>VLOOKUP(A25,'Tasks'!$A$2:$X$224,12,FALSE)</x:f>
        <x:v>46309</x:v>
      </x:c>
      <x:c r="D25" s="2" t="n">
        <x:f>IF(B25="",0,LEN(B25)-LEN(SUBSTITUTE(B25,",",""))+1)</x:f>
        <x:v>2</x:v>
      </x:c>
      <x:c r="E25" s="14" t="n">
        <x:f>MAX(P25:W25)</x:f>
        <x:v>46308</x:v>
      </x:c>
      <x:c r="F25" s="2" t="n">
        <x:f>COUNTIFS(P25:W25,"BAD ID")</x:f>
        <x:v>0</x:v>
      </x:c>
      <x:c r="G25" s="2" t="str">
        <x:f>IF(D25&gt;8,"TOO MANY",IF(F25&gt;0,"BAD ID",IF(C25&gt;=E25,"OK","LATE")))</x:f>
        <x:v>OK</x:v>
      </x:c>
      <x:c r="H25" s="2" t="str">
        <x:f>TRIM(MID(SUBSTITUTE($B25,",",REPT(" ",100)),1,100))</x:f>
        <x:v>BL-C-02</x:v>
      </x:c>
      <x:c r="I25" s="2" t="str">
        <x:f>TRIM(MID(SUBSTITUTE($B25,",",REPT(" ",100)),101,100))</x:f>
        <x:v>BL-C-01</x:v>
      </x:c>
      <x:c r="J25" s="2" t="str">
        <x:f>TRIM(MID(SUBSTITUTE($B25,",",REPT(" ",100)),201,100))</x:f>
      </x:c>
      <x:c r="K25" s="2" t="str">
        <x:f>TRIM(MID(SUBSTITUTE($B25,",",REPT(" ",100)),301,100))</x:f>
      </x:c>
      <x:c r="L25" s="2" t="str">
        <x:f>TRIM(MID(SUBSTITUTE($B25,",",REPT(" ",100)),401,100))</x:f>
      </x:c>
      <x:c r="M25" s="2" t="str">
        <x:f>TRIM(MID(SUBSTITUTE($B25,",",REPT(" ",100)),501,100))</x:f>
      </x:c>
      <x:c r="N25" s="2" t="str">
        <x:f>TRIM(MID(SUBSTITUTE($B25,",",REPT(" ",100)),601,100))</x:f>
      </x:c>
      <x:c r="O25" s="2" t="str">
        <x:f>TRIM(MID(SUBSTITUTE($B25,",",REPT(" ",100)),701,100))</x:f>
      </x:c>
      <x:c r="P25" s="14" t="n">
        <x:f>IF(H25="",0,IF(COUNTIFS('Tasks'!$A$2:$A$224,H25)=1,INDEX('Tasks'!$M$2:$M$224,MATCH(H25,'Tasks'!$A$2:$A$224,0)),"BAD ID"))</x:f>
        <x:v>46308</x:v>
      </x:c>
      <x:c r="Q25" s="14" t="n">
        <x:f>IF(I25="",0,IF(COUNTIFS('Tasks'!$A$2:$A$224,I25)=1,INDEX('Tasks'!$M$2:$M$224,MATCH(I25,'Tasks'!$A$2:$A$224,0)),"BAD ID"))</x:f>
        <x:v>46307</x:v>
      </x:c>
      <x:c r="R25" s="14" t="n">
        <x:f>IF(J25="",0,IF(COUNTIFS('Tasks'!$A$2:$A$224,J25)=1,INDEX('Tasks'!$M$2:$M$224,MATCH(J25,'Tasks'!$A$2:$A$224,0)),"BAD ID"))</x:f>
        <x:v>0</x:v>
      </x:c>
      <x:c r="S25" s="14" t="n">
        <x:f>IF(K25="",0,IF(COUNTIFS('Tasks'!$A$2:$A$224,K25)=1,INDEX('Tasks'!$M$2:$M$224,MATCH(K25,'Tasks'!$A$2:$A$224,0)),"BAD ID"))</x:f>
        <x:v>0</x:v>
      </x:c>
      <x:c r="T25" s="14" t="n">
        <x:f>IF(L25="",0,IF(COUNTIFS('Tasks'!$A$2:$A$224,L25)=1,INDEX('Tasks'!$M$2:$M$224,MATCH(L25,'Tasks'!$A$2:$A$224,0)),"BAD ID"))</x:f>
        <x:v>0</x:v>
      </x:c>
      <x:c r="U25" s="14" t="n">
        <x:f>IF(M25="",0,IF(COUNTIFS('Tasks'!$A$2:$A$224,M25)=1,INDEX('Tasks'!$M$2:$M$224,MATCH(M25,'Tasks'!$A$2:$A$224,0)),"BAD ID"))</x:f>
        <x:v>0</x:v>
      </x:c>
      <x:c r="V25" s="14" t="n">
        <x:f>IF(N25="",0,IF(COUNTIFS('Tasks'!$A$2:$A$224,N25)=1,INDEX('Tasks'!$M$2:$M$224,MATCH(N25,'Tasks'!$A$2:$A$224,0)),"BAD ID"))</x:f>
        <x:v>0</x:v>
      </x:c>
      <x:c r="W25" s="14" t="n">
        <x:f>IF(O25="",0,IF(COUNTIFS('Tasks'!$A$2:$A$224,O25)=1,INDEX('Tasks'!$M$2:$M$224,MATCH(O25,'Tasks'!$A$2:$A$224,0)),"BAD ID"))</x:f>
        <x:v>0</x:v>
      </x:c>
    </x:row>
    <x:row r="26" ht="28" customHeight="1">
      <x:c r="A26" s="2" t="str">
        <x:v>BL-F-03</x:v>
      </x:c>
      <x:c r="B26" s="2" t="str">
        <x:f>IF(VLOOKUP(A26,'Tasks'!$A$2:$X$224,15,FALSE)="","",VLOOKUP(A26,'Tasks'!$A$2:$X$224,15,FALSE))</x:f>
        <x:v>BL-F-02,BL-A-01</x:v>
      </x:c>
      <x:c r="C26" s="13" t="n">
        <x:f>VLOOKUP(A26,'Tasks'!$A$2:$X$224,12,FALSE)</x:f>
        <x:v>46310</x:v>
      </x:c>
      <x:c r="D26" s="2" t="n">
        <x:f>IF(B26="",0,LEN(B26)-LEN(SUBSTITUTE(B26,",",""))+1)</x:f>
        <x:v>2</x:v>
      </x:c>
      <x:c r="E26" s="14" t="n">
        <x:f>MAX(P26:W26)</x:f>
        <x:v>46308</x:v>
      </x:c>
      <x:c r="F26" s="2" t="n">
        <x:f>COUNTIFS(P26:W26,"BAD ID")</x:f>
        <x:v>0</x:v>
      </x:c>
      <x:c r="G26" s="2" t="str">
        <x:f>IF(D26&gt;8,"TOO MANY",IF(F26&gt;0,"BAD ID",IF(C26&gt;=E26,"OK","LATE")))</x:f>
        <x:v>OK</x:v>
      </x:c>
      <x:c r="H26" s="2" t="str">
        <x:f>TRIM(MID(SUBSTITUTE($B26,",",REPT(" ",100)),1,100))</x:f>
        <x:v>BL-F-02</x:v>
      </x:c>
      <x:c r="I26" s="2" t="str">
        <x:f>TRIM(MID(SUBSTITUTE($B26,",",REPT(" ",100)),101,100))</x:f>
        <x:v>BL-A-01</x:v>
      </x:c>
      <x:c r="J26" s="2" t="str">
        <x:f>TRIM(MID(SUBSTITUTE($B26,",",REPT(" ",100)),201,100))</x:f>
      </x:c>
      <x:c r="K26" s="2" t="str">
        <x:f>TRIM(MID(SUBSTITUTE($B26,",",REPT(" ",100)),301,100))</x:f>
      </x:c>
      <x:c r="L26" s="2" t="str">
        <x:f>TRIM(MID(SUBSTITUTE($B26,",",REPT(" ",100)),401,100))</x:f>
      </x:c>
      <x:c r="M26" s="2" t="str">
        <x:f>TRIM(MID(SUBSTITUTE($B26,",",REPT(" ",100)),501,100))</x:f>
      </x:c>
      <x:c r="N26" s="2" t="str">
        <x:f>TRIM(MID(SUBSTITUTE($B26,",",REPT(" ",100)),601,100))</x:f>
      </x:c>
      <x:c r="O26" s="2" t="str">
        <x:f>TRIM(MID(SUBSTITUTE($B26,",",REPT(" ",100)),701,100))</x:f>
      </x:c>
      <x:c r="P26" s="14" t="n">
        <x:f>IF(H26="",0,IF(COUNTIFS('Tasks'!$A$2:$A$224,H26)=1,INDEX('Tasks'!$M$2:$M$224,MATCH(H26,'Tasks'!$A$2:$A$224,0)),"BAD ID"))</x:f>
        <x:v>46308</x:v>
      </x:c>
      <x:c r="Q26" s="14" t="n">
        <x:f>IF(I26="",0,IF(COUNTIFS('Tasks'!$A$2:$A$224,I26)=1,INDEX('Tasks'!$M$2:$M$224,MATCH(I26,'Tasks'!$A$2:$A$224,0)),"BAD ID"))</x:f>
        <x:v>46307</x:v>
      </x:c>
      <x:c r="R26" s="14" t="n">
        <x:f>IF(J26="",0,IF(COUNTIFS('Tasks'!$A$2:$A$224,J26)=1,INDEX('Tasks'!$M$2:$M$224,MATCH(J26,'Tasks'!$A$2:$A$224,0)),"BAD ID"))</x:f>
        <x:v>0</x:v>
      </x:c>
      <x:c r="S26" s="14" t="n">
        <x:f>IF(K26="",0,IF(COUNTIFS('Tasks'!$A$2:$A$224,K26)=1,INDEX('Tasks'!$M$2:$M$224,MATCH(K26,'Tasks'!$A$2:$A$224,0)),"BAD ID"))</x:f>
        <x:v>0</x:v>
      </x:c>
      <x:c r="T26" s="14" t="n">
        <x:f>IF(L26="",0,IF(COUNTIFS('Tasks'!$A$2:$A$224,L26)=1,INDEX('Tasks'!$M$2:$M$224,MATCH(L26,'Tasks'!$A$2:$A$224,0)),"BAD ID"))</x:f>
        <x:v>0</x:v>
      </x:c>
      <x:c r="U26" s="14" t="n">
        <x:f>IF(M26="",0,IF(COUNTIFS('Tasks'!$A$2:$A$224,M26)=1,INDEX('Tasks'!$M$2:$M$224,MATCH(M26,'Tasks'!$A$2:$A$224,0)),"BAD ID"))</x:f>
        <x:v>0</x:v>
      </x:c>
      <x:c r="V26" s="14" t="n">
        <x:f>IF(N26="",0,IF(COUNTIFS('Tasks'!$A$2:$A$224,N26)=1,INDEX('Tasks'!$M$2:$M$224,MATCH(N26,'Tasks'!$A$2:$A$224,0)),"BAD ID"))</x:f>
        <x:v>0</x:v>
      </x:c>
      <x:c r="W26" s="14" t="n">
        <x:f>IF(O26="",0,IF(COUNTIFS('Tasks'!$A$2:$A$224,O26)=1,INDEX('Tasks'!$M$2:$M$224,MATCH(O26,'Tasks'!$A$2:$A$224,0)),"BAD ID"))</x:f>
        <x:v>0</x:v>
      </x:c>
    </x:row>
    <x:row r="27" ht="28" customHeight="1">
      <x:c r="A27" s="2" t="str">
        <x:v>BL-E-02</x:v>
      </x:c>
      <x:c r="B27" s="2" t="str">
        <x:f>IF(VLOOKUP(A27,'Tasks'!$A$2:$X$224,15,FALSE)="","",VLOOKUP(A27,'Tasks'!$A$2:$X$224,15,FALSE))</x:f>
        <x:v>BL-E-01,BL-B-01</x:v>
      </x:c>
      <x:c r="C27" s="13" t="n">
        <x:f>VLOOKUP(A27,'Tasks'!$A$2:$X$224,12,FALSE)</x:f>
        <x:v>46310</x:v>
      </x:c>
      <x:c r="D27" s="2" t="n">
        <x:f>IF(B27="",0,LEN(B27)-LEN(SUBSTITUTE(B27,",",""))+1)</x:f>
        <x:v>2</x:v>
      </x:c>
      <x:c r="E27" s="14" t="n">
        <x:f>MAX(P27:W27)</x:f>
        <x:v>46308</x:v>
      </x:c>
      <x:c r="F27" s="2" t="n">
        <x:f>COUNTIFS(P27:W27,"BAD ID")</x:f>
        <x:v>0</x:v>
      </x:c>
      <x:c r="G27" s="2" t="str">
        <x:f>IF(D27&gt;8,"TOO MANY",IF(F27&gt;0,"BAD ID",IF(C27&gt;=E27,"OK","LATE")))</x:f>
        <x:v>OK</x:v>
      </x:c>
      <x:c r="H27" s="2" t="str">
        <x:f>TRIM(MID(SUBSTITUTE($B27,",",REPT(" ",100)),1,100))</x:f>
        <x:v>BL-E-01</x:v>
      </x:c>
      <x:c r="I27" s="2" t="str">
        <x:f>TRIM(MID(SUBSTITUTE($B27,",",REPT(" ",100)),101,100))</x:f>
        <x:v>BL-B-01</x:v>
      </x:c>
      <x:c r="J27" s="2" t="str">
        <x:f>TRIM(MID(SUBSTITUTE($B27,",",REPT(" ",100)),201,100))</x:f>
      </x:c>
      <x:c r="K27" s="2" t="str">
        <x:f>TRIM(MID(SUBSTITUTE($B27,",",REPT(" ",100)),301,100))</x:f>
      </x:c>
      <x:c r="L27" s="2" t="str">
        <x:f>TRIM(MID(SUBSTITUTE($B27,",",REPT(" ",100)),401,100))</x:f>
      </x:c>
      <x:c r="M27" s="2" t="str">
        <x:f>TRIM(MID(SUBSTITUTE($B27,",",REPT(" ",100)),501,100))</x:f>
      </x:c>
      <x:c r="N27" s="2" t="str">
        <x:f>TRIM(MID(SUBSTITUTE($B27,",",REPT(" ",100)),601,100))</x:f>
      </x:c>
      <x:c r="O27" s="2" t="str">
        <x:f>TRIM(MID(SUBSTITUTE($B27,",",REPT(" ",100)),701,100))</x:f>
      </x:c>
      <x:c r="P27" s="14" t="n">
        <x:f>IF(H27="",0,IF(COUNTIFS('Tasks'!$A$2:$A$224,H27)=1,INDEX('Tasks'!$M$2:$M$224,MATCH(H27,'Tasks'!$A$2:$A$224,0)),"BAD ID"))</x:f>
        <x:v>46308</x:v>
      </x:c>
      <x:c r="Q27" s="14" t="n">
        <x:f>IF(I27="",0,IF(COUNTIFS('Tasks'!$A$2:$A$224,I27)=1,INDEX('Tasks'!$M$2:$M$224,MATCH(I27,'Tasks'!$A$2:$A$224,0)),"BAD ID"))</x:f>
        <x:v>46308</x:v>
      </x:c>
      <x:c r="R27" s="14" t="n">
        <x:f>IF(J27="",0,IF(COUNTIFS('Tasks'!$A$2:$A$224,J27)=1,INDEX('Tasks'!$M$2:$M$224,MATCH(J27,'Tasks'!$A$2:$A$224,0)),"BAD ID"))</x:f>
        <x:v>0</x:v>
      </x:c>
      <x:c r="S27" s="14" t="n">
        <x:f>IF(K27="",0,IF(COUNTIFS('Tasks'!$A$2:$A$224,K27)=1,INDEX('Tasks'!$M$2:$M$224,MATCH(K27,'Tasks'!$A$2:$A$224,0)),"BAD ID"))</x:f>
        <x:v>0</x:v>
      </x:c>
      <x:c r="T27" s="14" t="n">
        <x:f>IF(L27="",0,IF(COUNTIFS('Tasks'!$A$2:$A$224,L27)=1,INDEX('Tasks'!$M$2:$M$224,MATCH(L27,'Tasks'!$A$2:$A$224,0)),"BAD ID"))</x:f>
        <x:v>0</x:v>
      </x:c>
      <x:c r="U27" s="14" t="n">
        <x:f>IF(M27="",0,IF(COUNTIFS('Tasks'!$A$2:$A$224,M27)=1,INDEX('Tasks'!$M$2:$M$224,MATCH(M27,'Tasks'!$A$2:$A$224,0)),"BAD ID"))</x:f>
        <x:v>0</x:v>
      </x:c>
      <x:c r="V27" s="14" t="n">
        <x:f>IF(N27="",0,IF(COUNTIFS('Tasks'!$A$2:$A$224,N27)=1,INDEX('Tasks'!$M$2:$M$224,MATCH(N27,'Tasks'!$A$2:$A$224,0)),"BAD ID"))</x:f>
        <x:v>0</x:v>
      </x:c>
      <x:c r="W27" s="14" t="n">
        <x:f>IF(O27="",0,IF(COUNTIFS('Tasks'!$A$2:$A$224,O27)=1,INDEX('Tasks'!$M$2:$M$224,MATCH(O27,'Tasks'!$A$2:$A$224,0)),"BAD ID"))</x:f>
        <x:v>0</x:v>
      </x:c>
    </x:row>
    <x:row r="28" ht="28" customHeight="1">
      <x:c r="A28" s="2" t="str">
        <x:v>BL-A-04</x:v>
      </x:c>
      <x:c r="B28" s="2" t="str">
        <x:f>IF(VLOOKUP(A28,'Tasks'!$A$2:$X$224,15,FALSE)="","",VLOOKUP(A28,'Tasks'!$A$2:$X$224,15,FALSE))</x:f>
        <x:v>BL-A-03,BL-E-01,BL-B-01</x:v>
      </x:c>
      <x:c r="C28" s="13" t="n">
        <x:f>VLOOKUP(A28,'Tasks'!$A$2:$X$224,12,FALSE)</x:f>
        <x:v>46310</x:v>
      </x:c>
      <x:c r="D28" s="2" t="n">
        <x:f>IF(B28="",0,LEN(B28)-LEN(SUBSTITUTE(B28,",",""))+1)</x:f>
        <x:v>3</x:v>
      </x:c>
      <x:c r="E28" s="14" t="n">
        <x:f>MAX(P28:W28)</x:f>
        <x:v>46309</x:v>
      </x:c>
      <x:c r="F28" s="2" t="n">
        <x:f>COUNTIFS(P28:W28,"BAD ID")</x:f>
        <x:v>0</x:v>
      </x:c>
      <x:c r="G28" s="2" t="str">
        <x:f>IF(D28&gt;8,"TOO MANY",IF(F28&gt;0,"BAD ID",IF(C28&gt;=E28,"OK","LATE")))</x:f>
        <x:v>OK</x:v>
      </x:c>
      <x:c r="H28" s="2" t="str">
        <x:f>TRIM(MID(SUBSTITUTE($B28,",",REPT(" ",100)),1,100))</x:f>
        <x:v>BL-A-03</x:v>
      </x:c>
      <x:c r="I28" s="2" t="str">
        <x:f>TRIM(MID(SUBSTITUTE($B28,",",REPT(" ",100)),101,100))</x:f>
        <x:v>BL-E-01</x:v>
      </x:c>
      <x:c r="J28" s="2" t="str">
        <x:f>TRIM(MID(SUBSTITUTE($B28,",",REPT(" ",100)),201,100))</x:f>
        <x:v>BL-B-01</x:v>
      </x:c>
      <x:c r="K28" s="2" t="str">
        <x:f>TRIM(MID(SUBSTITUTE($B28,",",REPT(" ",100)),301,100))</x:f>
      </x:c>
      <x:c r="L28" s="2" t="str">
        <x:f>TRIM(MID(SUBSTITUTE($B28,",",REPT(" ",100)),401,100))</x:f>
      </x:c>
      <x:c r="M28" s="2" t="str">
        <x:f>TRIM(MID(SUBSTITUTE($B28,",",REPT(" ",100)),501,100))</x:f>
      </x:c>
      <x:c r="N28" s="2" t="str">
        <x:f>TRIM(MID(SUBSTITUTE($B28,",",REPT(" ",100)),601,100))</x:f>
      </x:c>
      <x:c r="O28" s="2" t="str">
        <x:f>TRIM(MID(SUBSTITUTE($B28,",",REPT(" ",100)),701,100))</x:f>
      </x:c>
      <x:c r="P28" s="14" t="n">
        <x:f>IF(H28="",0,IF(COUNTIFS('Tasks'!$A$2:$A$224,H28)=1,INDEX('Tasks'!$M$2:$M$224,MATCH(H28,'Tasks'!$A$2:$A$224,0)),"BAD ID"))</x:f>
        <x:v>46309</x:v>
      </x:c>
      <x:c r="Q28" s="14" t="n">
        <x:f>IF(I28="",0,IF(COUNTIFS('Tasks'!$A$2:$A$224,I28)=1,INDEX('Tasks'!$M$2:$M$224,MATCH(I28,'Tasks'!$A$2:$A$224,0)),"BAD ID"))</x:f>
        <x:v>46308</x:v>
      </x:c>
      <x:c r="R28" s="14" t="n">
        <x:f>IF(J28="",0,IF(COUNTIFS('Tasks'!$A$2:$A$224,J28)=1,INDEX('Tasks'!$M$2:$M$224,MATCH(J28,'Tasks'!$A$2:$A$224,0)),"BAD ID"))</x:f>
        <x:v>46308</x:v>
      </x:c>
      <x:c r="S28" s="14" t="n">
        <x:f>IF(K28="",0,IF(COUNTIFS('Tasks'!$A$2:$A$224,K28)=1,INDEX('Tasks'!$M$2:$M$224,MATCH(K28,'Tasks'!$A$2:$A$224,0)),"BAD ID"))</x:f>
        <x:v>0</x:v>
      </x:c>
      <x:c r="T28" s="14" t="n">
        <x:f>IF(L28="",0,IF(COUNTIFS('Tasks'!$A$2:$A$224,L28)=1,INDEX('Tasks'!$M$2:$M$224,MATCH(L28,'Tasks'!$A$2:$A$224,0)),"BAD ID"))</x:f>
        <x:v>0</x:v>
      </x:c>
      <x:c r="U28" s="14" t="n">
        <x:f>IF(M28="",0,IF(COUNTIFS('Tasks'!$A$2:$A$224,M28)=1,INDEX('Tasks'!$M$2:$M$224,MATCH(M28,'Tasks'!$A$2:$A$224,0)),"BAD ID"))</x:f>
        <x:v>0</x:v>
      </x:c>
      <x:c r="V28" s="14" t="n">
        <x:f>IF(N28="",0,IF(COUNTIFS('Tasks'!$A$2:$A$224,N28)=1,INDEX('Tasks'!$M$2:$M$224,MATCH(N28,'Tasks'!$A$2:$A$224,0)),"BAD ID"))</x:f>
        <x:v>0</x:v>
      </x:c>
      <x:c r="W28" s="14" t="n">
        <x:f>IF(O28="",0,IF(COUNTIFS('Tasks'!$A$2:$A$224,O28)=1,INDEX('Tasks'!$M$2:$M$224,MATCH(O28,'Tasks'!$A$2:$A$224,0)),"BAD ID"))</x:f>
        <x:v>0</x:v>
      </x:c>
    </x:row>
    <x:row r="29" ht="28" customHeight="1">
      <x:c r="A29" s="2" t="str">
        <x:v>BL-B-03</x:v>
      </x:c>
      <x:c r="B29" s="2" t="str">
        <x:f>IF(VLOOKUP(A29,'Tasks'!$A$2:$X$224,15,FALSE)="","",VLOOKUP(A29,'Tasks'!$A$2:$X$224,15,FALSE))</x:f>
        <x:v>BL-B-02</x:v>
      </x:c>
      <x:c r="C29" s="13" t="n">
        <x:f>VLOOKUP(A29,'Tasks'!$A$2:$X$224,12,FALSE)</x:f>
        <x:v>46310</x:v>
      </x:c>
      <x:c r="D29" s="2" t="n">
        <x:f>IF(B29="",0,LEN(B29)-LEN(SUBSTITUTE(B29,",",""))+1)</x:f>
        <x:v>1</x:v>
      </x:c>
      <x:c r="E29" s="14" t="n">
        <x:f>MAX(P29:W29)</x:f>
        <x:v>46309</x:v>
      </x:c>
      <x:c r="F29" s="2" t="n">
        <x:f>COUNTIFS(P29:W29,"BAD ID")</x:f>
        <x:v>0</x:v>
      </x:c>
      <x:c r="G29" s="2" t="str">
        <x:f>IF(D29&gt;8,"TOO MANY",IF(F29&gt;0,"BAD ID",IF(C29&gt;=E29,"OK","LATE")))</x:f>
        <x:v>OK</x:v>
      </x:c>
      <x:c r="H29" s="2" t="str">
        <x:f>TRIM(MID(SUBSTITUTE($B29,",",REPT(" ",100)),1,100))</x:f>
        <x:v>BL-B-02</x:v>
      </x:c>
      <x:c r="I29" s="2" t="str">
        <x:f>TRIM(MID(SUBSTITUTE($B29,",",REPT(" ",100)),101,100))</x:f>
      </x:c>
      <x:c r="J29" s="2" t="str">
        <x:f>TRIM(MID(SUBSTITUTE($B29,",",REPT(" ",100)),201,100))</x:f>
      </x:c>
      <x:c r="K29" s="2" t="str">
        <x:f>TRIM(MID(SUBSTITUTE($B29,",",REPT(" ",100)),301,100))</x:f>
      </x:c>
      <x:c r="L29" s="2" t="str">
        <x:f>TRIM(MID(SUBSTITUTE($B29,",",REPT(" ",100)),401,100))</x:f>
      </x:c>
      <x:c r="M29" s="2" t="str">
        <x:f>TRIM(MID(SUBSTITUTE($B29,",",REPT(" ",100)),501,100))</x:f>
      </x:c>
      <x:c r="N29" s="2" t="str">
        <x:f>TRIM(MID(SUBSTITUTE($B29,",",REPT(" ",100)),601,100))</x:f>
      </x:c>
      <x:c r="O29" s="2" t="str">
        <x:f>TRIM(MID(SUBSTITUTE($B29,",",REPT(" ",100)),701,100))</x:f>
      </x:c>
      <x:c r="P29" s="14" t="n">
        <x:f>IF(H29="",0,IF(COUNTIFS('Tasks'!$A$2:$A$224,H29)=1,INDEX('Tasks'!$M$2:$M$224,MATCH(H29,'Tasks'!$A$2:$A$224,0)),"BAD ID"))</x:f>
        <x:v>46309</x:v>
      </x:c>
      <x:c r="Q29" s="14" t="n">
        <x:f>IF(I29="",0,IF(COUNTIFS('Tasks'!$A$2:$A$224,I29)=1,INDEX('Tasks'!$M$2:$M$224,MATCH(I29,'Tasks'!$A$2:$A$224,0)),"BAD ID"))</x:f>
        <x:v>0</x:v>
      </x:c>
      <x:c r="R29" s="14" t="n">
        <x:f>IF(J29="",0,IF(COUNTIFS('Tasks'!$A$2:$A$224,J29)=1,INDEX('Tasks'!$M$2:$M$224,MATCH(J29,'Tasks'!$A$2:$A$224,0)),"BAD ID"))</x:f>
        <x:v>0</x:v>
      </x:c>
      <x:c r="S29" s="14" t="n">
        <x:f>IF(K29="",0,IF(COUNTIFS('Tasks'!$A$2:$A$224,K29)=1,INDEX('Tasks'!$M$2:$M$224,MATCH(K29,'Tasks'!$A$2:$A$224,0)),"BAD ID"))</x:f>
        <x:v>0</x:v>
      </x:c>
      <x:c r="T29" s="14" t="n">
        <x:f>IF(L29="",0,IF(COUNTIFS('Tasks'!$A$2:$A$224,L29)=1,INDEX('Tasks'!$M$2:$M$224,MATCH(L29,'Tasks'!$A$2:$A$224,0)),"BAD ID"))</x:f>
        <x:v>0</x:v>
      </x:c>
      <x:c r="U29" s="14" t="n">
        <x:f>IF(M29="",0,IF(COUNTIFS('Tasks'!$A$2:$A$224,M29)=1,INDEX('Tasks'!$M$2:$M$224,MATCH(M29,'Tasks'!$A$2:$A$224,0)),"BAD ID"))</x:f>
        <x:v>0</x:v>
      </x:c>
      <x:c r="V29" s="14" t="n">
        <x:f>IF(N29="",0,IF(COUNTIFS('Tasks'!$A$2:$A$224,N29)=1,INDEX('Tasks'!$M$2:$M$224,MATCH(N29,'Tasks'!$A$2:$A$224,0)),"BAD ID"))</x:f>
        <x:v>0</x:v>
      </x:c>
      <x:c r="W29" s="14" t="n">
        <x:f>IF(O29="",0,IF(COUNTIFS('Tasks'!$A$2:$A$224,O29)=1,INDEX('Tasks'!$M$2:$M$224,MATCH(O29,'Tasks'!$A$2:$A$224,0)),"BAD ID"))</x:f>
        <x:v>0</x:v>
      </x:c>
    </x:row>
    <x:row r="30" ht="28" customHeight="1">
      <x:c r="A30" s="2" t="str">
        <x:v>BL-D-04</x:v>
      </x:c>
      <x:c r="B30" s="2" t="str">
        <x:f>IF(VLOOKUP(A30,'Tasks'!$A$2:$X$224,15,FALSE)="","",VLOOKUP(A30,'Tasks'!$A$2:$X$224,15,FALSE))</x:f>
        <x:v>BL-D-03</x:v>
      </x:c>
      <x:c r="C30" s="13" t="n">
        <x:f>VLOOKUP(A30,'Tasks'!$A$2:$X$224,12,FALSE)</x:f>
        <x:v>46310</x:v>
      </x:c>
      <x:c r="D30" s="2" t="n">
        <x:f>IF(B30="",0,LEN(B30)-LEN(SUBSTITUTE(B30,",",""))+1)</x:f>
        <x:v>1</x:v>
      </x:c>
      <x:c r="E30" s="14" t="n">
        <x:f>MAX(P30:W30)</x:f>
        <x:v>46309</x:v>
      </x:c>
      <x:c r="F30" s="2" t="n">
        <x:f>COUNTIFS(P30:W30,"BAD ID")</x:f>
        <x:v>0</x:v>
      </x:c>
      <x:c r="G30" s="2" t="str">
        <x:f>IF(D30&gt;8,"TOO MANY",IF(F30&gt;0,"BAD ID",IF(C30&gt;=E30,"OK","LATE")))</x:f>
        <x:v>OK</x:v>
      </x:c>
      <x:c r="H30" s="2" t="str">
        <x:f>TRIM(MID(SUBSTITUTE($B30,",",REPT(" ",100)),1,100))</x:f>
        <x:v>BL-D-03</x:v>
      </x:c>
      <x:c r="I30" s="2" t="str">
        <x:f>TRIM(MID(SUBSTITUTE($B30,",",REPT(" ",100)),101,100))</x:f>
      </x:c>
      <x:c r="J30" s="2" t="str">
        <x:f>TRIM(MID(SUBSTITUTE($B30,",",REPT(" ",100)),201,100))</x:f>
      </x:c>
      <x:c r="K30" s="2" t="str">
        <x:f>TRIM(MID(SUBSTITUTE($B30,",",REPT(" ",100)),301,100))</x:f>
      </x:c>
      <x:c r="L30" s="2" t="str">
        <x:f>TRIM(MID(SUBSTITUTE($B30,",",REPT(" ",100)),401,100))</x:f>
      </x:c>
      <x:c r="M30" s="2" t="str">
        <x:f>TRIM(MID(SUBSTITUTE($B30,",",REPT(" ",100)),501,100))</x:f>
      </x:c>
      <x:c r="N30" s="2" t="str">
        <x:f>TRIM(MID(SUBSTITUTE($B30,",",REPT(" ",100)),601,100))</x:f>
      </x:c>
      <x:c r="O30" s="2" t="str">
        <x:f>TRIM(MID(SUBSTITUTE($B30,",",REPT(" ",100)),701,100))</x:f>
      </x:c>
      <x:c r="P30" s="14" t="n">
        <x:f>IF(H30="",0,IF(COUNTIFS('Tasks'!$A$2:$A$224,H30)=1,INDEX('Tasks'!$M$2:$M$224,MATCH(H30,'Tasks'!$A$2:$A$224,0)),"BAD ID"))</x:f>
        <x:v>46309</x:v>
      </x:c>
      <x:c r="Q30" s="14" t="n">
        <x:f>IF(I30="",0,IF(COUNTIFS('Tasks'!$A$2:$A$224,I30)=1,INDEX('Tasks'!$M$2:$M$224,MATCH(I30,'Tasks'!$A$2:$A$224,0)),"BAD ID"))</x:f>
        <x:v>0</x:v>
      </x:c>
      <x:c r="R30" s="14" t="n">
        <x:f>IF(J30="",0,IF(COUNTIFS('Tasks'!$A$2:$A$224,J30)=1,INDEX('Tasks'!$M$2:$M$224,MATCH(J30,'Tasks'!$A$2:$A$224,0)),"BAD ID"))</x:f>
        <x:v>0</x:v>
      </x:c>
      <x:c r="S30" s="14" t="n">
        <x:f>IF(K30="",0,IF(COUNTIFS('Tasks'!$A$2:$A$224,K30)=1,INDEX('Tasks'!$M$2:$M$224,MATCH(K30,'Tasks'!$A$2:$A$224,0)),"BAD ID"))</x:f>
        <x:v>0</x:v>
      </x:c>
      <x:c r="T30" s="14" t="n">
        <x:f>IF(L30="",0,IF(COUNTIFS('Tasks'!$A$2:$A$224,L30)=1,INDEX('Tasks'!$M$2:$M$224,MATCH(L30,'Tasks'!$A$2:$A$224,0)),"BAD ID"))</x:f>
        <x:v>0</x:v>
      </x:c>
      <x:c r="U30" s="14" t="n">
        <x:f>IF(M30="",0,IF(COUNTIFS('Tasks'!$A$2:$A$224,M30)=1,INDEX('Tasks'!$M$2:$M$224,MATCH(M30,'Tasks'!$A$2:$A$224,0)),"BAD ID"))</x:f>
        <x:v>0</x:v>
      </x:c>
      <x:c r="V30" s="14" t="n">
        <x:f>IF(N30="",0,IF(COUNTIFS('Tasks'!$A$2:$A$224,N30)=1,INDEX('Tasks'!$M$2:$M$224,MATCH(N30,'Tasks'!$A$2:$A$224,0)),"BAD ID"))</x:f>
        <x:v>0</x:v>
      </x:c>
      <x:c r="W30" s="14" t="n">
        <x:f>IF(O30="",0,IF(COUNTIFS('Tasks'!$A$2:$A$224,O30)=1,INDEX('Tasks'!$M$2:$M$224,MATCH(O30,'Tasks'!$A$2:$A$224,0)),"BAD ID"))</x:f>
        <x:v>0</x:v>
      </x:c>
    </x:row>
    <x:row r="31" ht="28" customHeight="1">
      <x:c r="A31" s="2" t="str">
        <x:v>BL-C-04</x:v>
      </x:c>
      <x:c r="B31" s="2" t="str">
        <x:f>IF(VLOOKUP(A31,'Tasks'!$A$2:$X$224,15,FALSE)="","",VLOOKUP(A31,'Tasks'!$A$2:$X$224,15,FALSE))</x:f>
        <x:v>BL-C-03</x:v>
      </x:c>
      <x:c r="C31" s="13" t="n">
        <x:f>VLOOKUP(A31,'Tasks'!$A$2:$X$224,12,FALSE)</x:f>
        <x:v>46310</x:v>
      </x:c>
      <x:c r="D31" s="2" t="n">
        <x:f>IF(B31="",0,LEN(B31)-LEN(SUBSTITUTE(B31,",",""))+1)</x:f>
        <x:v>1</x:v>
      </x:c>
      <x:c r="E31" s="14" t="n">
        <x:f>MAX(P31:W31)</x:f>
        <x:v>46309</x:v>
      </x:c>
      <x:c r="F31" s="2" t="n">
        <x:f>COUNTIFS(P31:W31,"BAD ID")</x:f>
        <x:v>0</x:v>
      </x:c>
      <x:c r="G31" s="2" t="str">
        <x:f>IF(D31&gt;8,"TOO MANY",IF(F31&gt;0,"BAD ID",IF(C31&gt;=E31,"OK","LATE")))</x:f>
        <x:v>OK</x:v>
      </x:c>
      <x:c r="H31" s="2" t="str">
        <x:f>TRIM(MID(SUBSTITUTE($B31,",",REPT(" ",100)),1,100))</x:f>
        <x:v>BL-C-03</x:v>
      </x:c>
      <x:c r="I31" s="2" t="str">
        <x:f>TRIM(MID(SUBSTITUTE($B31,",",REPT(" ",100)),101,100))</x:f>
      </x:c>
      <x:c r="J31" s="2" t="str">
        <x:f>TRIM(MID(SUBSTITUTE($B31,",",REPT(" ",100)),201,100))</x:f>
      </x:c>
      <x:c r="K31" s="2" t="str">
        <x:f>TRIM(MID(SUBSTITUTE($B31,",",REPT(" ",100)),301,100))</x:f>
      </x:c>
      <x:c r="L31" s="2" t="str">
        <x:f>TRIM(MID(SUBSTITUTE($B31,",",REPT(" ",100)),401,100))</x:f>
      </x:c>
      <x:c r="M31" s="2" t="str">
        <x:f>TRIM(MID(SUBSTITUTE($B31,",",REPT(" ",100)),501,100))</x:f>
      </x:c>
      <x:c r="N31" s="2" t="str">
        <x:f>TRIM(MID(SUBSTITUTE($B31,",",REPT(" ",100)),601,100))</x:f>
      </x:c>
      <x:c r="O31" s="2" t="str">
        <x:f>TRIM(MID(SUBSTITUTE($B31,",",REPT(" ",100)),701,100))</x:f>
      </x:c>
      <x:c r="P31" s="14" t="n">
        <x:f>IF(H31="",0,IF(COUNTIFS('Tasks'!$A$2:$A$224,H31)=1,INDEX('Tasks'!$M$2:$M$224,MATCH(H31,'Tasks'!$A$2:$A$224,0)),"BAD ID"))</x:f>
        <x:v>46309</x:v>
      </x:c>
      <x:c r="Q31" s="14" t="n">
        <x:f>IF(I31="",0,IF(COUNTIFS('Tasks'!$A$2:$A$224,I31)=1,INDEX('Tasks'!$M$2:$M$224,MATCH(I31,'Tasks'!$A$2:$A$224,0)),"BAD ID"))</x:f>
        <x:v>0</x:v>
      </x:c>
      <x:c r="R31" s="14" t="n">
        <x:f>IF(J31="",0,IF(COUNTIFS('Tasks'!$A$2:$A$224,J31)=1,INDEX('Tasks'!$M$2:$M$224,MATCH(J31,'Tasks'!$A$2:$A$224,0)),"BAD ID"))</x:f>
        <x:v>0</x:v>
      </x:c>
      <x:c r="S31" s="14" t="n">
        <x:f>IF(K31="",0,IF(COUNTIFS('Tasks'!$A$2:$A$224,K31)=1,INDEX('Tasks'!$M$2:$M$224,MATCH(K31,'Tasks'!$A$2:$A$224,0)),"BAD ID"))</x:f>
        <x:v>0</x:v>
      </x:c>
      <x:c r="T31" s="14" t="n">
        <x:f>IF(L31="",0,IF(COUNTIFS('Tasks'!$A$2:$A$224,L31)=1,INDEX('Tasks'!$M$2:$M$224,MATCH(L31,'Tasks'!$A$2:$A$224,0)),"BAD ID"))</x:f>
        <x:v>0</x:v>
      </x:c>
      <x:c r="U31" s="14" t="n">
        <x:f>IF(M31="",0,IF(COUNTIFS('Tasks'!$A$2:$A$224,M31)=1,INDEX('Tasks'!$M$2:$M$224,MATCH(M31,'Tasks'!$A$2:$A$224,0)),"BAD ID"))</x:f>
        <x:v>0</x:v>
      </x:c>
      <x:c r="V31" s="14" t="n">
        <x:f>IF(N31="",0,IF(COUNTIFS('Tasks'!$A$2:$A$224,N31)=1,INDEX('Tasks'!$M$2:$M$224,MATCH(N31,'Tasks'!$A$2:$A$224,0)),"BAD ID"))</x:f>
        <x:v>0</x:v>
      </x:c>
      <x:c r="W31" s="14" t="n">
        <x:f>IF(O31="",0,IF(COUNTIFS('Tasks'!$A$2:$A$224,O31)=1,INDEX('Tasks'!$M$2:$M$224,MATCH(O31,'Tasks'!$A$2:$A$224,0)),"BAD ID"))</x:f>
        <x:v>0</x:v>
      </x:c>
    </x:row>
    <x:row r="32" ht="28" customHeight="1">
      <x:c r="A32" s="2" t="str">
        <x:v>BL-E-03</x:v>
      </x:c>
      <x:c r="B32" s="2" t="str">
        <x:f>IF(VLOOKUP(A32,'Tasks'!$A$2:$X$224,15,FALSE)="","",VLOOKUP(A32,'Tasks'!$A$2:$X$224,15,FALSE))</x:f>
        <x:v>BL-E-02</x:v>
      </x:c>
      <x:c r="C32" s="13" t="n">
        <x:f>VLOOKUP(A32,'Tasks'!$A$2:$X$224,12,FALSE)</x:f>
        <x:v>46311</x:v>
      </x:c>
      <x:c r="D32" s="2" t="n">
        <x:f>IF(B32="",0,LEN(B32)-LEN(SUBSTITUTE(B32,",",""))+1)</x:f>
        <x:v>1</x:v>
      </x:c>
      <x:c r="E32" s="14" t="n">
        <x:f>MAX(P32:W32)</x:f>
        <x:v>46310</x:v>
      </x:c>
      <x:c r="F32" s="2" t="n">
        <x:f>COUNTIFS(P32:W32,"BAD ID")</x:f>
        <x:v>0</x:v>
      </x:c>
      <x:c r="G32" s="2" t="str">
        <x:f>IF(D32&gt;8,"TOO MANY",IF(F32&gt;0,"BAD ID",IF(C32&gt;=E32,"OK","LATE")))</x:f>
        <x:v>OK</x:v>
      </x:c>
      <x:c r="H32" s="2" t="str">
        <x:f>TRIM(MID(SUBSTITUTE($B32,",",REPT(" ",100)),1,100))</x:f>
        <x:v>BL-E-02</x:v>
      </x:c>
      <x:c r="I32" s="2" t="str">
        <x:f>TRIM(MID(SUBSTITUTE($B32,",",REPT(" ",100)),101,100))</x:f>
      </x:c>
      <x:c r="J32" s="2" t="str">
        <x:f>TRIM(MID(SUBSTITUTE($B32,",",REPT(" ",100)),201,100))</x:f>
      </x:c>
      <x:c r="K32" s="2" t="str">
        <x:f>TRIM(MID(SUBSTITUTE($B32,",",REPT(" ",100)),301,100))</x:f>
      </x:c>
      <x:c r="L32" s="2" t="str">
        <x:f>TRIM(MID(SUBSTITUTE($B32,",",REPT(" ",100)),401,100))</x:f>
      </x:c>
      <x:c r="M32" s="2" t="str">
        <x:f>TRIM(MID(SUBSTITUTE($B32,",",REPT(" ",100)),501,100))</x:f>
      </x:c>
      <x:c r="N32" s="2" t="str">
        <x:f>TRIM(MID(SUBSTITUTE($B32,",",REPT(" ",100)),601,100))</x:f>
      </x:c>
      <x:c r="O32" s="2" t="str">
        <x:f>TRIM(MID(SUBSTITUTE($B32,",",REPT(" ",100)),701,100))</x:f>
      </x:c>
      <x:c r="P32" s="14" t="n">
        <x:f>IF(H32="",0,IF(COUNTIFS('Tasks'!$A$2:$A$224,H32)=1,INDEX('Tasks'!$M$2:$M$224,MATCH(H32,'Tasks'!$A$2:$A$224,0)),"BAD ID"))</x:f>
        <x:v>46310</x:v>
      </x:c>
      <x:c r="Q32" s="14" t="n">
        <x:f>IF(I32="",0,IF(COUNTIFS('Tasks'!$A$2:$A$224,I32)=1,INDEX('Tasks'!$M$2:$M$224,MATCH(I32,'Tasks'!$A$2:$A$224,0)),"BAD ID"))</x:f>
        <x:v>0</x:v>
      </x:c>
      <x:c r="R32" s="14" t="n">
        <x:f>IF(J32="",0,IF(COUNTIFS('Tasks'!$A$2:$A$224,J32)=1,INDEX('Tasks'!$M$2:$M$224,MATCH(J32,'Tasks'!$A$2:$A$224,0)),"BAD ID"))</x:f>
        <x:v>0</x:v>
      </x:c>
      <x:c r="S32" s="14" t="n">
        <x:f>IF(K32="",0,IF(COUNTIFS('Tasks'!$A$2:$A$224,K32)=1,INDEX('Tasks'!$M$2:$M$224,MATCH(K32,'Tasks'!$A$2:$A$224,0)),"BAD ID"))</x:f>
        <x:v>0</x:v>
      </x:c>
      <x:c r="T32" s="14" t="n">
        <x:f>IF(L32="",0,IF(COUNTIFS('Tasks'!$A$2:$A$224,L32)=1,INDEX('Tasks'!$M$2:$M$224,MATCH(L32,'Tasks'!$A$2:$A$224,0)),"BAD ID"))</x:f>
        <x:v>0</x:v>
      </x:c>
      <x:c r="U32" s="14" t="n">
        <x:f>IF(M32="",0,IF(COUNTIFS('Tasks'!$A$2:$A$224,M32)=1,INDEX('Tasks'!$M$2:$M$224,MATCH(M32,'Tasks'!$A$2:$A$224,0)),"BAD ID"))</x:f>
        <x:v>0</x:v>
      </x:c>
      <x:c r="V32" s="14" t="n">
        <x:f>IF(N32="",0,IF(COUNTIFS('Tasks'!$A$2:$A$224,N32)=1,INDEX('Tasks'!$M$2:$M$224,MATCH(N32,'Tasks'!$A$2:$A$224,0)),"BAD ID"))</x:f>
        <x:v>0</x:v>
      </x:c>
      <x:c r="W32" s="14" t="n">
        <x:f>IF(O32="",0,IF(COUNTIFS('Tasks'!$A$2:$A$224,O32)=1,INDEX('Tasks'!$M$2:$M$224,MATCH(O32,'Tasks'!$A$2:$A$224,0)),"BAD ID"))</x:f>
        <x:v>0</x:v>
      </x:c>
    </x:row>
    <x:row r="33" ht="28" customHeight="1">
      <x:c r="A33" s="2" t="str">
        <x:v>BL-A-05</x:v>
      </x:c>
      <x:c r="B33" s="2" t="str">
        <x:f>IF(VLOOKUP(A33,'Tasks'!$A$2:$X$224,15,FALSE)="","",VLOOKUP(A33,'Tasks'!$A$2:$X$224,15,FALSE))</x:f>
        <x:v>BL-A-04,BL-E-02</x:v>
      </x:c>
      <x:c r="C33" s="13" t="n">
        <x:f>VLOOKUP(A33,'Tasks'!$A$2:$X$224,12,FALSE)</x:f>
        <x:v>46311</x:v>
      </x:c>
      <x:c r="D33" s="2" t="n">
        <x:f>IF(B33="",0,LEN(B33)-LEN(SUBSTITUTE(B33,",",""))+1)</x:f>
        <x:v>2</x:v>
      </x:c>
      <x:c r="E33" s="14" t="n">
        <x:f>MAX(P33:W33)</x:f>
        <x:v>46310</x:v>
      </x:c>
      <x:c r="F33" s="2" t="n">
        <x:f>COUNTIFS(P33:W33,"BAD ID")</x:f>
        <x:v>0</x:v>
      </x:c>
      <x:c r="G33" s="2" t="str">
        <x:f>IF(D33&gt;8,"TOO MANY",IF(F33&gt;0,"BAD ID",IF(C33&gt;=E33,"OK","LATE")))</x:f>
        <x:v>OK</x:v>
      </x:c>
      <x:c r="H33" s="2" t="str">
        <x:f>TRIM(MID(SUBSTITUTE($B33,",",REPT(" ",100)),1,100))</x:f>
        <x:v>BL-A-04</x:v>
      </x:c>
      <x:c r="I33" s="2" t="str">
        <x:f>TRIM(MID(SUBSTITUTE($B33,",",REPT(" ",100)),101,100))</x:f>
        <x:v>BL-E-02</x:v>
      </x:c>
      <x:c r="J33" s="2" t="str">
        <x:f>TRIM(MID(SUBSTITUTE($B33,",",REPT(" ",100)),201,100))</x:f>
      </x:c>
      <x:c r="K33" s="2" t="str">
        <x:f>TRIM(MID(SUBSTITUTE($B33,",",REPT(" ",100)),301,100))</x:f>
      </x:c>
      <x:c r="L33" s="2" t="str">
        <x:f>TRIM(MID(SUBSTITUTE($B33,",",REPT(" ",100)),401,100))</x:f>
      </x:c>
      <x:c r="M33" s="2" t="str">
        <x:f>TRIM(MID(SUBSTITUTE($B33,",",REPT(" ",100)),501,100))</x:f>
      </x:c>
      <x:c r="N33" s="2" t="str">
        <x:f>TRIM(MID(SUBSTITUTE($B33,",",REPT(" ",100)),601,100))</x:f>
      </x:c>
      <x:c r="O33" s="2" t="str">
        <x:f>TRIM(MID(SUBSTITUTE($B33,",",REPT(" ",100)),701,100))</x:f>
      </x:c>
      <x:c r="P33" s="14" t="n">
        <x:f>IF(H33="",0,IF(COUNTIFS('Tasks'!$A$2:$A$224,H33)=1,INDEX('Tasks'!$M$2:$M$224,MATCH(H33,'Tasks'!$A$2:$A$224,0)),"BAD ID"))</x:f>
        <x:v>46310</x:v>
      </x:c>
      <x:c r="Q33" s="14" t="n">
        <x:f>IF(I33="",0,IF(COUNTIFS('Tasks'!$A$2:$A$224,I33)=1,INDEX('Tasks'!$M$2:$M$224,MATCH(I33,'Tasks'!$A$2:$A$224,0)),"BAD ID"))</x:f>
        <x:v>46310</x:v>
      </x:c>
      <x:c r="R33" s="14" t="n">
        <x:f>IF(J33="",0,IF(COUNTIFS('Tasks'!$A$2:$A$224,J33)=1,INDEX('Tasks'!$M$2:$M$224,MATCH(J33,'Tasks'!$A$2:$A$224,0)),"BAD ID"))</x:f>
        <x:v>0</x:v>
      </x:c>
      <x:c r="S33" s="14" t="n">
        <x:f>IF(K33="",0,IF(COUNTIFS('Tasks'!$A$2:$A$224,K33)=1,INDEX('Tasks'!$M$2:$M$224,MATCH(K33,'Tasks'!$A$2:$A$224,0)),"BAD ID"))</x:f>
        <x:v>0</x:v>
      </x:c>
      <x:c r="T33" s="14" t="n">
        <x:f>IF(L33="",0,IF(COUNTIFS('Tasks'!$A$2:$A$224,L33)=1,INDEX('Tasks'!$M$2:$M$224,MATCH(L33,'Tasks'!$A$2:$A$224,0)),"BAD ID"))</x:f>
        <x:v>0</x:v>
      </x:c>
      <x:c r="U33" s="14" t="n">
        <x:f>IF(M33="",0,IF(COUNTIFS('Tasks'!$A$2:$A$224,M33)=1,INDEX('Tasks'!$M$2:$M$224,MATCH(M33,'Tasks'!$A$2:$A$224,0)),"BAD ID"))</x:f>
        <x:v>0</x:v>
      </x:c>
      <x:c r="V33" s="14" t="n">
        <x:f>IF(N33="",0,IF(COUNTIFS('Tasks'!$A$2:$A$224,N33)=1,INDEX('Tasks'!$M$2:$M$224,MATCH(N33,'Tasks'!$A$2:$A$224,0)),"BAD ID"))</x:f>
        <x:v>0</x:v>
      </x:c>
      <x:c r="W33" s="14" t="n">
        <x:f>IF(O33="",0,IF(COUNTIFS('Tasks'!$A$2:$A$224,O33)=1,INDEX('Tasks'!$M$2:$M$224,MATCH(O33,'Tasks'!$A$2:$A$224,0)),"BAD ID"))</x:f>
        <x:v>0</x:v>
      </x:c>
    </x:row>
    <x:row r="34" ht="28" customHeight="1">
      <x:c r="A34" s="2" t="str">
        <x:v>BL-B-04</x:v>
      </x:c>
      <x:c r="B34" s="2" t="str">
        <x:f>IF(VLOOKUP(A34,'Tasks'!$A$2:$X$224,15,FALSE)="","",VLOOKUP(A34,'Tasks'!$A$2:$X$224,15,FALSE))</x:f>
        <x:v>BL-B-03</x:v>
      </x:c>
      <x:c r="C34" s="13" t="n">
        <x:f>VLOOKUP(A34,'Tasks'!$A$2:$X$224,12,FALSE)</x:f>
        <x:v>46311</x:v>
      </x:c>
      <x:c r="D34" s="2" t="n">
        <x:f>IF(B34="",0,LEN(B34)-LEN(SUBSTITUTE(B34,",",""))+1)</x:f>
        <x:v>1</x:v>
      </x:c>
      <x:c r="E34" s="14" t="n">
        <x:f>MAX(P34:W34)</x:f>
        <x:v>46310</x:v>
      </x:c>
      <x:c r="F34" s="2" t="n">
        <x:f>COUNTIFS(P34:W34,"BAD ID")</x:f>
        <x:v>0</x:v>
      </x:c>
      <x:c r="G34" s="2" t="str">
        <x:f>IF(D34&gt;8,"TOO MANY",IF(F34&gt;0,"BAD ID",IF(C34&gt;=E34,"OK","LATE")))</x:f>
        <x:v>OK</x:v>
      </x:c>
      <x:c r="H34" s="2" t="str">
        <x:f>TRIM(MID(SUBSTITUTE($B34,",",REPT(" ",100)),1,100))</x:f>
        <x:v>BL-B-03</x:v>
      </x:c>
      <x:c r="I34" s="2" t="str">
        <x:f>TRIM(MID(SUBSTITUTE($B34,",",REPT(" ",100)),101,100))</x:f>
      </x:c>
      <x:c r="J34" s="2" t="str">
        <x:f>TRIM(MID(SUBSTITUTE($B34,",",REPT(" ",100)),201,100))</x:f>
      </x:c>
      <x:c r="K34" s="2" t="str">
        <x:f>TRIM(MID(SUBSTITUTE($B34,",",REPT(" ",100)),301,100))</x:f>
      </x:c>
      <x:c r="L34" s="2" t="str">
        <x:f>TRIM(MID(SUBSTITUTE($B34,",",REPT(" ",100)),401,100))</x:f>
      </x:c>
      <x:c r="M34" s="2" t="str">
        <x:f>TRIM(MID(SUBSTITUTE($B34,",",REPT(" ",100)),501,100))</x:f>
      </x:c>
      <x:c r="N34" s="2" t="str">
        <x:f>TRIM(MID(SUBSTITUTE($B34,",",REPT(" ",100)),601,100))</x:f>
      </x:c>
      <x:c r="O34" s="2" t="str">
        <x:f>TRIM(MID(SUBSTITUTE($B34,",",REPT(" ",100)),701,100))</x:f>
      </x:c>
      <x:c r="P34" s="14" t="n">
        <x:f>IF(H34="",0,IF(COUNTIFS('Tasks'!$A$2:$A$224,H34)=1,INDEX('Tasks'!$M$2:$M$224,MATCH(H34,'Tasks'!$A$2:$A$224,0)),"BAD ID"))</x:f>
        <x:v>46310</x:v>
      </x:c>
      <x:c r="Q34" s="14" t="n">
        <x:f>IF(I34="",0,IF(COUNTIFS('Tasks'!$A$2:$A$224,I34)=1,INDEX('Tasks'!$M$2:$M$224,MATCH(I34,'Tasks'!$A$2:$A$224,0)),"BAD ID"))</x:f>
        <x:v>0</x:v>
      </x:c>
      <x:c r="R34" s="14" t="n">
        <x:f>IF(J34="",0,IF(COUNTIFS('Tasks'!$A$2:$A$224,J34)=1,INDEX('Tasks'!$M$2:$M$224,MATCH(J34,'Tasks'!$A$2:$A$224,0)),"BAD ID"))</x:f>
        <x:v>0</x:v>
      </x:c>
      <x:c r="S34" s="14" t="n">
        <x:f>IF(K34="",0,IF(COUNTIFS('Tasks'!$A$2:$A$224,K34)=1,INDEX('Tasks'!$M$2:$M$224,MATCH(K34,'Tasks'!$A$2:$A$224,0)),"BAD ID"))</x:f>
        <x:v>0</x:v>
      </x:c>
      <x:c r="T34" s="14" t="n">
        <x:f>IF(L34="",0,IF(COUNTIFS('Tasks'!$A$2:$A$224,L34)=1,INDEX('Tasks'!$M$2:$M$224,MATCH(L34,'Tasks'!$A$2:$A$224,0)),"BAD ID"))</x:f>
        <x:v>0</x:v>
      </x:c>
      <x:c r="U34" s="14" t="n">
        <x:f>IF(M34="",0,IF(COUNTIFS('Tasks'!$A$2:$A$224,M34)=1,INDEX('Tasks'!$M$2:$M$224,MATCH(M34,'Tasks'!$A$2:$A$224,0)),"BAD ID"))</x:f>
        <x:v>0</x:v>
      </x:c>
      <x:c r="V34" s="14" t="n">
        <x:f>IF(N34="",0,IF(COUNTIFS('Tasks'!$A$2:$A$224,N34)=1,INDEX('Tasks'!$M$2:$M$224,MATCH(N34,'Tasks'!$A$2:$A$224,0)),"BAD ID"))</x:f>
        <x:v>0</x:v>
      </x:c>
      <x:c r="W34" s="14" t="n">
        <x:f>IF(O34="",0,IF(COUNTIFS('Tasks'!$A$2:$A$224,O34)=1,INDEX('Tasks'!$M$2:$M$224,MATCH(O34,'Tasks'!$A$2:$A$224,0)),"BAD ID"))</x:f>
        <x:v>0</x:v>
      </x:c>
    </x:row>
    <x:row r="35" ht="28" customHeight="1">
      <x:c r="A35" s="2" t="str">
        <x:v>BL-C-05</x:v>
      </x:c>
      <x:c r="B35" s="2" t="str">
        <x:f>IF(VLOOKUP(A35,'Tasks'!$A$2:$X$224,15,FALSE)="","",VLOOKUP(A35,'Tasks'!$A$2:$X$224,15,FALSE))</x:f>
        <x:v>BL-C-04,BL-B-03</x:v>
      </x:c>
      <x:c r="C35" s="13" t="n">
        <x:f>VLOOKUP(A35,'Tasks'!$A$2:$X$224,12,FALSE)</x:f>
        <x:v>46311</x:v>
      </x:c>
      <x:c r="D35" s="2" t="n">
        <x:f>IF(B35="",0,LEN(B35)-LEN(SUBSTITUTE(B35,",",""))+1)</x:f>
        <x:v>2</x:v>
      </x:c>
      <x:c r="E35" s="14" t="n">
        <x:f>MAX(P35:W35)</x:f>
        <x:v>46310</x:v>
      </x:c>
      <x:c r="F35" s="2" t="n">
        <x:f>COUNTIFS(P35:W35,"BAD ID")</x:f>
        <x:v>0</x:v>
      </x:c>
      <x:c r="G35" s="2" t="str">
        <x:f>IF(D35&gt;8,"TOO MANY",IF(F35&gt;0,"BAD ID",IF(C35&gt;=E35,"OK","LATE")))</x:f>
        <x:v>OK</x:v>
      </x:c>
      <x:c r="H35" s="2" t="str">
        <x:f>TRIM(MID(SUBSTITUTE($B35,",",REPT(" ",100)),1,100))</x:f>
        <x:v>BL-C-04</x:v>
      </x:c>
      <x:c r="I35" s="2" t="str">
        <x:f>TRIM(MID(SUBSTITUTE($B35,",",REPT(" ",100)),101,100))</x:f>
        <x:v>BL-B-03</x:v>
      </x:c>
      <x:c r="J35" s="2" t="str">
        <x:f>TRIM(MID(SUBSTITUTE($B35,",",REPT(" ",100)),201,100))</x:f>
      </x:c>
      <x:c r="K35" s="2" t="str">
        <x:f>TRIM(MID(SUBSTITUTE($B35,",",REPT(" ",100)),301,100))</x:f>
      </x:c>
      <x:c r="L35" s="2" t="str">
        <x:f>TRIM(MID(SUBSTITUTE($B35,",",REPT(" ",100)),401,100))</x:f>
      </x:c>
      <x:c r="M35" s="2" t="str">
        <x:f>TRIM(MID(SUBSTITUTE($B35,",",REPT(" ",100)),501,100))</x:f>
      </x:c>
      <x:c r="N35" s="2" t="str">
        <x:f>TRIM(MID(SUBSTITUTE($B35,",",REPT(" ",100)),601,100))</x:f>
      </x:c>
      <x:c r="O35" s="2" t="str">
        <x:f>TRIM(MID(SUBSTITUTE($B35,",",REPT(" ",100)),701,100))</x:f>
      </x:c>
      <x:c r="P35" s="14" t="n">
        <x:f>IF(H35="",0,IF(COUNTIFS('Tasks'!$A$2:$A$224,H35)=1,INDEX('Tasks'!$M$2:$M$224,MATCH(H35,'Tasks'!$A$2:$A$224,0)),"BAD ID"))</x:f>
        <x:v>46310</x:v>
      </x:c>
      <x:c r="Q35" s="14" t="n">
        <x:f>IF(I35="",0,IF(COUNTIFS('Tasks'!$A$2:$A$224,I35)=1,INDEX('Tasks'!$M$2:$M$224,MATCH(I35,'Tasks'!$A$2:$A$224,0)),"BAD ID"))</x:f>
        <x:v>46310</x:v>
      </x:c>
      <x:c r="R35" s="14" t="n">
        <x:f>IF(J35="",0,IF(COUNTIFS('Tasks'!$A$2:$A$224,J35)=1,INDEX('Tasks'!$M$2:$M$224,MATCH(J35,'Tasks'!$A$2:$A$224,0)),"BAD ID"))</x:f>
        <x:v>0</x:v>
      </x:c>
      <x:c r="S35" s="14" t="n">
        <x:f>IF(K35="",0,IF(COUNTIFS('Tasks'!$A$2:$A$224,K35)=1,INDEX('Tasks'!$M$2:$M$224,MATCH(K35,'Tasks'!$A$2:$A$224,0)),"BAD ID"))</x:f>
        <x:v>0</x:v>
      </x:c>
      <x:c r="T35" s="14" t="n">
        <x:f>IF(L35="",0,IF(COUNTIFS('Tasks'!$A$2:$A$224,L35)=1,INDEX('Tasks'!$M$2:$M$224,MATCH(L35,'Tasks'!$A$2:$A$224,0)),"BAD ID"))</x:f>
        <x:v>0</x:v>
      </x:c>
      <x:c r="U35" s="14" t="n">
        <x:f>IF(M35="",0,IF(COUNTIFS('Tasks'!$A$2:$A$224,M35)=1,INDEX('Tasks'!$M$2:$M$224,MATCH(M35,'Tasks'!$A$2:$A$224,0)),"BAD ID"))</x:f>
        <x:v>0</x:v>
      </x:c>
      <x:c r="V35" s="14" t="n">
        <x:f>IF(N35="",0,IF(COUNTIFS('Tasks'!$A$2:$A$224,N35)=1,INDEX('Tasks'!$M$2:$M$224,MATCH(N35,'Tasks'!$A$2:$A$224,0)),"BAD ID"))</x:f>
        <x:v>0</x:v>
      </x:c>
      <x:c r="W35" s="14" t="n">
        <x:f>IF(O35="",0,IF(COUNTIFS('Tasks'!$A$2:$A$224,O35)=1,INDEX('Tasks'!$M$2:$M$224,MATCH(O35,'Tasks'!$A$2:$A$224,0)),"BAD ID"))</x:f>
        <x:v>0</x:v>
      </x:c>
    </x:row>
    <x:row r="36" ht="28" customHeight="1">
      <x:c r="A36" s="2" t="str">
        <x:v>BL-D-05</x:v>
      </x:c>
      <x:c r="B36" s="2" t="str">
        <x:f>IF(VLOOKUP(A36,'Tasks'!$A$2:$X$224,15,FALSE)="","",VLOOKUP(A36,'Tasks'!$A$2:$X$224,15,FALSE))</x:f>
        <x:v>BL-D-04,BL-C-04</x:v>
      </x:c>
      <x:c r="C36" s="13" t="n">
        <x:f>VLOOKUP(A36,'Tasks'!$A$2:$X$224,12,FALSE)</x:f>
        <x:v>46311</x:v>
      </x:c>
      <x:c r="D36" s="2" t="n">
        <x:f>IF(B36="",0,LEN(B36)-LEN(SUBSTITUTE(B36,",",""))+1)</x:f>
        <x:v>2</x:v>
      </x:c>
      <x:c r="E36" s="14" t="n">
        <x:f>MAX(P36:W36)</x:f>
        <x:v>46310</x:v>
      </x:c>
      <x:c r="F36" s="2" t="n">
        <x:f>COUNTIFS(P36:W36,"BAD ID")</x:f>
        <x:v>0</x:v>
      </x:c>
      <x:c r="G36" s="2" t="str">
        <x:f>IF(D36&gt;8,"TOO MANY",IF(F36&gt;0,"BAD ID",IF(C36&gt;=E36,"OK","LATE")))</x:f>
        <x:v>OK</x:v>
      </x:c>
      <x:c r="H36" s="2" t="str">
        <x:f>TRIM(MID(SUBSTITUTE($B36,",",REPT(" ",100)),1,100))</x:f>
        <x:v>BL-D-04</x:v>
      </x:c>
      <x:c r="I36" s="2" t="str">
        <x:f>TRIM(MID(SUBSTITUTE($B36,",",REPT(" ",100)),101,100))</x:f>
        <x:v>BL-C-04</x:v>
      </x:c>
      <x:c r="J36" s="2" t="str">
        <x:f>TRIM(MID(SUBSTITUTE($B36,",",REPT(" ",100)),201,100))</x:f>
      </x:c>
      <x:c r="K36" s="2" t="str">
        <x:f>TRIM(MID(SUBSTITUTE($B36,",",REPT(" ",100)),301,100))</x:f>
      </x:c>
      <x:c r="L36" s="2" t="str">
        <x:f>TRIM(MID(SUBSTITUTE($B36,",",REPT(" ",100)),401,100))</x:f>
      </x:c>
      <x:c r="M36" s="2" t="str">
        <x:f>TRIM(MID(SUBSTITUTE($B36,",",REPT(" ",100)),501,100))</x:f>
      </x:c>
      <x:c r="N36" s="2" t="str">
        <x:f>TRIM(MID(SUBSTITUTE($B36,",",REPT(" ",100)),601,100))</x:f>
      </x:c>
      <x:c r="O36" s="2" t="str">
        <x:f>TRIM(MID(SUBSTITUTE($B36,",",REPT(" ",100)),701,100))</x:f>
      </x:c>
      <x:c r="P36" s="14" t="n">
        <x:f>IF(H36="",0,IF(COUNTIFS('Tasks'!$A$2:$A$224,H36)=1,INDEX('Tasks'!$M$2:$M$224,MATCH(H36,'Tasks'!$A$2:$A$224,0)),"BAD ID"))</x:f>
        <x:v>46310</x:v>
      </x:c>
      <x:c r="Q36" s="14" t="n">
        <x:f>IF(I36="",0,IF(COUNTIFS('Tasks'!$A$2:$A$224,I36)=1,INDEX('Tasks'!$M$2:$M$224,MATCH(I36,'Tasks'!$A$2:$A$224,0)),"BAD ID"))</x:f>
        <x:v>46310</x:v>
      </x:c>
      <x:c r="R36" s="14" t="n">
        <x:f>IF(J36="",0,IF(COUNTIFS('Tasks'!$A$2:$A$224,J36)=1,INDEX('Tasks'!$M$2:$M$224,MATCH(J36,'Tasks'!$A$2:$A$224,0)),"BAD ID"))</x:f>
        <x:v>0</x:v>
      </x:c>
      <x:c r="S36" s="14" t="n">
        <x:f>IF(K36="",0,IF(COUNTIFS('Tasks'!$A$2:$A$224,K36)=1,INDEX('Tasks'!$M$2:$M$224,MATCH(K36,'Tasks'!$A$2:$A$224,0)),"BAD ID"))</x:f>
        <x:v>0</x:v>
      </x:c>
      <x:c r="T36" s="14" t="n">
        <x:f>IF(L36="",0,IF(COUNTIFS('Tasks'!$A$2:$A$224,L36)=1,INDEX('Tasks'!$M$2:$M$224,MATCH(L36,'Tasks'!$A$2:$A$224,0)),"BAD ID"))</x:f>
        <x:v>0</x:v>
      </x:c>
      <x:c r="U36" s="14" t="n">
        <x:f>IF(M36="",0,IF(COUNTIFS('Tasks'!$A$2:$A$224,M36)=1,INDEX('Tasks'!$M$2:$M$224,MATCH(M36,'Tasks'!$A$2:$A$224,0)),"BAD ID"))</x:f>
        <x:v>0</x:v>
      </x:c>
      <x:c r="V36" s="14" t="n">
        <x:f>IF(N36="",0,IF(COUNTIFS('Tasks'!$A$2:$A$224,N36)=1,INDEX('Tasks'!$M$2:$M$224,MATCH(N36,'Tasks'!$A$2:$A$224,0)),"BAD ID"))</x:f>
        <x:v>0</x:v>
      </x:c>
      <x:c r="W36" s="14" t="n">
        <x:f>IF(O36="",0,IF(COUNTIFS('Tasks'!$A$2:$A$224,O36)=1,INDEX('Tasks'!$M$2:$M$224,MATCH(O36,'Tasks'!$A$2:$A$224,0)),"BAD ID"))</x:f>
        <x:v>0</x:v>
      </x:c>
    </x:row>
    <x:row r="37" ht="28" customHeight="1">
      <x:c r="A37" s="2" t="str">
        <x:v>BL-F-04</x:v>
      </x:c>
      <x:c r="B37" s="2" t="str">
        <x:f>IF(VLOOKUP(A37,'Tasks'!$A$2:$X$224,15,FALSE)="","",VLOOKUP(A37,'Tasks'!$A$2:$X$224,15,FALSE))</x:f>
        <x:v>BL-F-03,BL-A-03</x:v>
      </x:c>
      <x:c r="C37" s="13" t="n">
        <x:f>VLOOKUP(A37,'Tasks'!$A$2:$X$224,12,FALSE)</x:f>
        <x:v>46311</x:v>
      </x:c>
      <x:c r="D37" s="2" t="n">
        <x:f>IF(B37="",0,LEN(B37)-LEN(SUBSTITUTE(B37,",",""))+1)</x:f>
        <x:v>2</x:v>
      </x:c>
      <x:c r="E37" s="14" t="n">
        <x:f>MAX(P37:W37)</x:f>
        <x:v>46310</x:v>
      </x:c>
      <x:c r="F37" s="2" t="n">
        <x:f>COUNTIFS(P37:W37,"BAD ID")</x:f>
        <x:v>0</x:v>
      </x:c>
      <x:c r="G37" s="2" t="str">
        <x:f>IF(D37&gt;8,"TOO MANY",IF(F37&gt;0,"BAD ID",IF(C37&gt;=E37,"OK","LATE")))</x:f>
        <x:v>OK</x:v>
      </x:c>
      <x:c r="H37" s="2" t="str">
        <x:f>TRIM(MID(SUBSTITUTE($B37,",",REPT(" ",100)),1,100))</x:f>
        <x:v>BL-F-03</x:v>
      </x:c>
      <x:c r="I37" s="2" t="str">
        <x:f>TRIM(MID(SUBSTITUTE($B37,",",REPT(" ",100)),101,100))</x:f>
        <x:v>BL-A-03</x:v>
      </x:c>
      <x:c r="J37" s="2" t="str">
        <x:f>TRIM(MID(SUBSTITUTE($B37,",",REPT(" ",100)),201,100))</x:f>
      </x:c>
      <x:c r="K37" s="2" t="str">
        <x:f>TRIM(MID(SUBSTITUTE($B37,",",REPT(" ",100)),301,100))</x:f>
      </x:c>
      <x:c r="L37" s="2" t="str">
        <x:f>TRIM(MID(SUBSTITUTE($B37,",",REPT(" ",100)),401,100))</x:f>
      </x:c>
      <x:c r="M37" s="2" t="str">
        <x:f>TRIM(MID(SUBSTITUTE($B37,",",REPT(" ",100)),501,100))</x:f>
      </x:c>
      <x:c r="N37" s="2" t="str">
        <x:f>TRIM(MID(SUBSTITUTE($B37,",",REPT(" ",100)),601,100))</x:f>
      </x:c>
      <x:c r="O37" s="2" t="str">
        <x:f>TRIM(MID(SUBSTITUTE($B37,",",REPT(" ",100)),701,100))</x:f>
      </x:c>
      <x:c r="P37" s="14" t="n">
        <x:f>IF(H37="",0,IF(COUNTIFS('Tasks'!$A$2:$A$224,H37)=1,INDEX('Tasks'!$M$2:$M$224,MATCH(H37,'Tasks'!$A$2:$A$224,0)),"BAD ID"))</x:f>
        <x:v>46310</x:v>
      </x:c>
      <x:c r="Q37" s="14" t="n">
        <x:f>IF(I37="",0,IF(COUNTIFS('Tasks'!$A$2:$A$224,I37)=1,INDEX('Tasks'!$M$2:$M$224,MATCH(I37,'Tasks'!$A$2:$A$224,0)),"BAD ID"))</x:f>
        <x:v>46309</x:v>
      </x:c>
      <x:c r="R37" s="14" t="n">
        <x:f>IF(J37="",0,IF(COUNTIFS('Tasks'!$A$2:$A$224,J37)=1,INDEX('Tasks'!$M$2:$M$224,MATCH(J37,'Tasks'!$A$2:$A$224,0)),"BAD ID"))</x:f>
        <x:v>0</x:v>
      </x:c>
      <x:c r="S37" s="14" t="n">
        <x:f>IF(K37="",0,IF(COUNTIFS('Tasks'!$A$2:$A$224,K37)=1,INDEX('Tasks'!$M$2:$M$224,MATCH(K37,'Tasks'!$A$2:$A$224,0)),"BAD ID"))</x:f>
        <x:v>0</x:v>
      </x:c>
      <x:c r="T37" s="14" t="n">
        <x:f>IF(L37="",0,IF(COUNTIFS('Tasks'!$A$2:$A$224,L37)=1,INDEX('Tasks'!$M$2:$M$224,MATCH(L37,'Tasks'!$A$2:$A$224,0)),"BAD ID"))</x:f>
        <x:v>0</x:v>
      </x:c>
      <x:c r="U37" s="14" t="n">
        <x:f>IF(M37="",0,IF(COUNTIFS('Tasks'!$A$2:$A$224,M37)=1,INDEX('Tasks'!$M$2:$M$224,MATCH(M37,'Tasks'!$A$2:$A$224,0)),"BAD ID"))</x:f>
        <x:v>0</x:v>
      </x:c>
      <x:c r="V37" s="14" t="n">
        <x:f>IF(N37="",0,IF(COUNTIFS('Tasks'!$A$2:$A$224,N37)=1,INDEX('Tasks'!$M$2:$M$224,MATCH(N37,'Tasks'!$A$2:$A$224,0)),"BAD ID"))</x:f>
        <x:v>0</x:v>
      </x:c>
      <x:c r="W37" s="14" t="n">
        <x:f>IF(O37="",0,IF(COUNTIFS('Tasks'!$A$2:$A$224,O37)=1,INDEX('Tasks'!$M$2:$M$224,MATCH(O37,'Tasks'!$A$2:$A$224,0)),"BAD ID"))</x:f>
        <x:v>0</x:v>
      </x:c>
    </x:row>
    <x:row r="38" ht="28" customHeight="1">
      <x:c r="A38" s="2" t="str">
        <x:v>TEST-02</x:v>
      </x:c>
      <x:c r="B38" s="2" t="str">
        <x:f>IF(VLOOKUP(A38,'Tasks'!$A$2:$X$224,15,FALSE)="","",VLOOKUP(A38,'Tasks'!$A$2:$X$224,15,FALSE))</x:f>
        <x:v>BL-A-05,BL-E-03</x:v>
      </x:c>
      <x:c r="C38" s="13" t="n">
        <x:f>VLOOKUP(A38,'Tasks'!$A$2:$X$224,12,FALSE)</x:f>
        <x:v>46312</x:v>
      </x:c>
      <x:c r="D38" s="2" t="n">
        <x:f>IF(B38="",0,LEN(B38)-LEN(SUBSTITUTE(B38,",",""))+1)</x:f>
        <x:v>2</x:v>
      </x:c>
      <x:c r="E38" s="14" t="n">
        <x:f>MAX(P38:W38)</x:f>
        <x:v>46311</x:v>
      </x:c>
      <x:c r="F38" s="2" t="n">
        <x:f>COUNTIFS(P38:W38,"BAD ID")</x:f>
        <x:v>0</x:v>
      </x:c>
      <x:c r="G38" s="2" t="str">
        <x:f>IF(D38&gt;8,"TOO MANY",IF(F38&gt;0,"BAD ID",IF(C38&gt;=E38,"OK","LATE")))</x:f>
        <x:v>OK</x:v>
      </x:c>
      <x:c r="H38" s="2" t="str">
        <x:f>TRIM(MID(SUBSTITUTE($B38,",",REPT(" ",100)),1,100))</x:f>
        <x:v>BL-A-05</x:v>
      </x:c>
      <x:c r="I38" s="2" t="str">
        <x:f>TRIM(MID(SUBSTITUTE($B38,",",REPT(" ",100)),101,100))</x:f>
        <x:v>BL-E-03</x:v>
      </x:c>
      <x:c r="J38" s="2" t="str">
        <x:f>TRIM(MID(SUBSTITUTE($B38,",",REPT(" ",100)),201,100))</x:f>
      </x:c>
      <x:c r="K38" s="2" t="str">
        <x:f>TRIM(MID(SUBSTITUTE($B38,",",REPT(" ",100)),301,100))</x:f>
      </x:c>
      <x:c r="L38" s="2" t="str">
        <x:f>TRIM(MID(SUBSTITUTE($B38,",",REPT(" ",100)),401,100))</x:f>
      </x:c>
      <x:c r="M38" s="2" t="str">
        <x:f>TRIM(MID(SUBSTITUTE($B38,",",REPT(" ",100)),501,100))</x:f>
      </x:c>
      <x:c r="N38" s="2" t="str">
        <x:f>TRIM(MID(SUBSTITUTE($B38,",",REPT(" ",100)),601,100))</x:f>
      </x:c>
      <x:c r="O38" s="2" t="str">
        <x:f>TRIM(MID(SUBSTITUTE($B38,",",REPT(" ",100)),701,100))</x:f>
      </x:c>
      <x:c r="P38" s="14" t="n">
        <x:f>IF(H38="",0,IF(COUNTIFS('Tasks'!$A$2:$A$224,H38)=1,INDEX('Tasks'!$M$2:$M$224,MATCH(H38,'Tasks'!$A$2:$A$224,0)),"BAD ID"))</x:f>
        <x:v>46311</x:v>
      </x:c>
      <x:c r="Q38" s="14" t="n">
        <x:f>IF(I38="",0,IF(COUNTIFS('Tasks'!$A$2:$A$224,I38)=1,INDEX('Tasks'!$M$2:$M$224,MATCH(I38,'Tasks'!$A$2:$A$224,0)),"BAD ID"))</x:f>
        <x:v>46311</x:v>
      </x:c>
      <x:c r="R38" s="14" t="n">
        <x:f>IF(J38="",0,IF(COUNTIFS('Tasks'!$A$2:$A$224,J38)=1,INDEX('Tasks'!$M$2:$M$224,MATCH(J38,'Tasks'!$A$2:$A$224,0)),"BAD ID"))</x:f>
        <x:v>0</x:v>
      </x:c>
      <x:c r="S38" s="14" t="n">
        <x:f>IF(K38="",0,IF(COUNTIFS('Tasks'!$A$2:$A$224,K38)=1,INDEX('Tasks'!$M$2:$M$224,MATCH(K38,'Tasks'!$A$2:$A$224,0)),"BAD ID"))</x:f>
        <x:v>0</x:v>
      </x:c>
      <x:c r="T38" s="14" t="n">
        <x:f>IF(L38="",0,IF(COUNTIFS('Tasks'!$A$2:$A$224,L38)=1,INDEX('Tasks'!$M$2:$M$224,MATCH(L38,'Tasks'!$A$2:$A$224,0)),"BAD ID"))</x:f>
        <x:v>0</x:v>
      </x:c>
      <x:c r="U38" s="14" t="n">
        <x:f>IF(M38="",0,IF(COUNTIFS('Tasks'!$A$2:$A$224,M38)=1,INDEX('Tasks'!$M$2:$M$224,MATCH(M38,'Tasks'!$A$2:$A$224,0)),"BAD ID"))</x:f>
        <x:v>0</x:v>
      </x:c>
      <x:c r="V38" s="14" t="n">
        <x:f>IF(N38="",0,IF(COUNTIFS('Tasks'!$A$2:$A$224,N38)=1,INDEX('Tasks'!$M$2:$M$224,MATCH(N38,'Tasks'!$A$2:$A$224,0)),"BAD ID"))</x:f>
        <x:v>0</x:v>
      </x:c>
      <x:c r="W38" s="14" t="n">
        <x:f>IF(O38="",0,IF(COUNTIFS('Tasks'!$A$2:$A$224,O38)=1,INDEX('Tasks'!$M$2:$M$224,MATCH(O38,'Tasks'!$A$2:$A$224,0)),"BAD ID"))</x:f>
        <x:v>0</x:v>
      </x:c>
    </x:row>
    <x:row r="39" ht="28" customHeight="1">
      <x:c r="A39" s="2" t="str">
        <x:v>TEST-03</x:v>
      </x:c>
      <x:c r="B39" s="2" t="str">
        <x:f>IF(VLOOKUP(A39,'Tasks'!$A$2:$X$224,15,FALSE)="","",VLOOKUP(A39,'Tasks'!$A$2:$X$224,15,FALSE))</x:f>
        <x:v>BL-A-05,TEST-01</x:v>
      </x:c>
      <x:c r="C39" s="13" t="n">
        <x:f>VLOOKUP(A39,'Tasks'!$A$2:$X$224,12,FALSE)</x:f>
        <x:v>46312</x:v>
      </x:c>
      <x:c r="D39" s="2" t="n">
        <x:f>IF(B39="",0,LEN(B39)-LEN(SUBSTITUTE(B39,",",""))+1)</x:f>
        <x:v>2</x:v>
      </x:c>
      <x:c r="E39" s="14" t="n">
        <x:f>MAX(P39:W39)</x:f>
        <x:v>46311</x:v>
      </x:c>
      <x:c r="F39" s="2" t="n">
        <x:f>COUNTIFS(P39:W39,"BAD ID")</x:f>
        <x:v>0</x:v>
      </x:c>
      <x:c r="G39" s="2" t="str">
        <x:f>IF(D39&gt;8,"TOO MANY",IF(F39&gt;0,"BAD ID",IF(C39&gt;=E39,"OK","LATE")))</x:f>
        <x:v>OK</x:v>
      </x:c>
      <x:c r="H39" s="2" t="str">
        <x:f>TRIM(MID(SUBSTITUTE($B39,",",REPT(" ",100)),1,100))</x:f>
        <x:v>BL-A-05</x:v>
      </x:c>
      <x:c r="I39" s="2" t="str">
        <x:f>TRIM(MID(SUBSTITUTE($B39,",",REPT(" ",100)),101,100))</x:f>
        <x:v>TEST-01</x:v>
      </x:c>
      <x:c r="J39" s="2" t="str">
        <x:f>TRIM(MID(SUBSTITUTE($B39,",",REPT(" ",100)),201,100))</x:f>
      </x:c>
      <x:c r="K39" s="2" t="str">
        <x:f>TRIM(MID(SUBSTITUTE($B39,",",REPT(" ",100)),301,100))</x:f>
      </x:c>
      <x:c r="L39" s="2" t="str">
        <x:f>TRIM(MID(SUBSTITUTE($B39,",",REPT(" ",100)),401,100))</x:f>
      </x:c>
      <x:c r="M39" s="2" t="str">
        <x:f>TRIM(MID(SUBSTITUTE($B39,",",REPT(" ",100)),501,100))</x:f>
      </x:c>
      <x:c r="N39" s="2" t="str">
        <x:f>TRIM(MID(SUBSTITUTE($B39,",",REPT(" ",100)),601,100))</x:f>
      </x:c>
      <x:c r="O39" s="2" t="str">
        <x:f>TRIM(MID(SUBSTITUTE($B39,",",REPT(" ",100)),701,100))</x:f>
      </x:c>
      <x:c r="P39" s="14" t="n">
        <x:f>IF(H39="",0,IF(COUNTIFS('Tasks'!$A$2:$A$224,H39)=1,INDEX('Tasks'!$M$2:$M$224,MATCH(H39,'Tasks'!$A$2:$A$224,0)),"BAD ID"))</x:f>
        <x:v>46311</x:v>
      </x:c>
      <x:c r="Q39" s="14" t="n">
        <x:f>IF(I39="",0,IF(COUNTIFS('Tasks'!$A$2:$A$224,I39)=1,INDEX('Tasks'!$M$2:$M$224,MATCH(I39,'Tasks'!$A$2:$A$224,0)),"BAD ID"))</x:f>
        <x:v>46309</x:v>
      </x:c>
      <x:c r="R39" s="14" t="n">
        <x:f>IF(J39="",0,IF(COUNTIFS('Tasks'!$A$2:$A$224,J39)=1,INDEX('Tasks'!$M$2:$M$224,MATCH(J39,'Tasks'!$A$2:$A$224,0)),"BAD ID"))</x:f>
        <x:v>0</x:v>
      </x:c>
      <x:c r="S39" s="14" t="n">
        <x:f>IF(K39="",0,IF(COUNTIFS('Tasks'!$A$2:$A$224,K39)=1,INDEX('Tasks'!$M$2:$M$224,MATCH(K39,'Tasks'!$A$2:$A$224,0)),"BAD ID"))</x:f>
        <x:v>0</x:v>
      </x:c>
      <x:c r="T39" s="14" t="n">
        <x:f>IF(L39="",0,IF(COUNTIFS('Tasks'!$A$2:$A$224,L39)=1,INDEX('Tasks'!$M$2:$M$224,MATCH(L39,'Tasks'!$A$2:$A$224,0)),"BAD ID"))</x:f>
        <x:v>0</x:v>
      </x:c>
      <x:c r="U39" s="14" t="n">
        <x:f>IF(M39="",0,IF(COUNTIFS('Tasks'!$A$2:$A$224,M39)=1,INDEX('Tasks'!$M$2:$M$224,MATCH(M39,'Tasks'!$A$2:$A$224,0)),"BAD ID"))</x:f>
        <x:v>0</x:v>
      </x:c>
      <x:c r="V39" s="14" t="n">
        <x:f>IF(N39="",0,IF(COUNTIFS('Tasks'!$A$2:$A$224,N39)=1,INDEX('Tasks'!$M$2:$M$224,MATCH(N39,'Tasks'!$A$2:$A$224,0)),"BAD ID"))</x:f>
        <x:v>0</x:v>
      </x:c>
      <x:c r="W39" s="14" t="n">
        <x:f>IF(O39="",0,IF(COUNTIFS('Tasks'!$A$2:$A$224,O39)=1,INDEX('Tasks'!$M$2:$M$224,MATCH(O39,'Tasks'!$A$2:$A$224,0)),"BAD ID"))</x:f>
        <x:v>0</x:v>
      </x:c>
    </x:row>
    <x:row r="40" ht="28" customHeight="1">
      <x:c r="A40" s="2" t="str">
        <x:v>BL-B-05</x:v>
      </x:c>
      <x:c r="B40" s="2" t="str">
        <x:f>IF(VLOOKUP(A40,'Tasks'!$A$2:$X$224,15,FALSE)="","",VLOOKUP(A40,'Tasks'!$A$2:$X$224,15,FALSE))</x:f>
        <x:v>RV-01,BL-B-03,BL-D-03</x:v>
      </x:c>
      <x:c r="C40" s="13" t="n">
        <x:f>VLOOKUP(A40,'Tasks'!$A$2:$X$224,12,FALSE)</x:f>
        <x:v>46312</x:v>
      </x:c>
      <x:c r="D40" s="2" t="n">
        <x:f>IF(B40="",0,LEN(B40)-LEN(SUBSTITUTE(B40,",",""))+1)</x:f>
        <x:v>3</x:v>
      </x:c>
      <x:c r="E40" s="14" t="n">
        <x:f>MAX(P40:W40)</x:f>
        <x:v>46310</x:v>
      </x:c>
      <x:c r="F40" s="2" t="n">
        <x:f>COUNTIFS(P40:W40,"BAD ID")</x:f>
        <x:v>0</x:v>
      </x:c>
      <x:c r="G40" s="2" t="str">
        <x:f>IF(D40&gt;8,"TOO MANY",IF(F40&gt;0,"BAD ID",IF(C40&gt;=E40,"OK","LATE")))</x:f>
        <x:v>OK</x:v>
      </x:c>
      <x:c r="H40" s="2" t="str">
        <x:f>TRIM(MID(SUBSTITUTE($B40,",",REPT(" ",100)),1,100))</x:f>
        <x:v>RV-01</x:v>
      </x:c>
      <x:c r="I40" s="2" t="str">
        <x:f>TRIM(MID(SUBSTITUTE($B40,",",REPT(" ",100)),101,100))</x:f>
        <x:v>BL-B-03</x:v>
      </x:c>
      <x:c r="J40" s="2" t="str">
        <x:f>TRIM(MID(SUBSTITUTE($B40,",",REPT(" ",100)),201,100))</x:f>
        <x:v>BL-D-03</x:v>
      </x:c>
      <x:c r="K40" s="2" t="str">
        <x:f>TRIM(MID(SUBSTITUTE($B40,",",REPT(" ",100)),301,100))</x:f>
      </x:c>
      <x:c r="L40" s="2" t="str">
        <x:f>TRIM(MID(SUBSTITUTE($B40,",",REPT(" ",100)),401,100))</x:f>
      </x:c>
      <x:c r="M40" s="2" t="str">
        <x:f>TRIM(MID(SUBSTITUTE($B40,",",REPT(" ",100)),501,100))</x:f>
      </x:c>
      <x:c r="N40" s="2" t="str">
        <x:f>TRIM(MID(SUBSTITUTE($B40,",",REPT(" ",100)),601,100))</x:f>
      </x:c>
      <x:c r="O40" s="2" t="str">
        <x:f>TRIM(MID(SUBSTITUTE($B40,",",REPT(" ",100)),701,100))</x:f>
      </x:c>
      <x:c r="P40" s="14" t="n">
        <x:f>IF(H40="",0,IF(COUNTIFS('Tasks'!$A$2:$A$224,H40)=1,INDEX('Tasks'!$M$2:$M$224,MATCH(H40,'Tasks'!$A$2:$A$224,0)),"BAD ID"))</x:f>
        <x:v>46307</x:v>
      </x:c>
      <x:c r="Q40" s="14" t="n">
        <x:f>IF(I40="",0,IF(COUNTIFS('Tasks'!$A$2:$A$224,I40)=1,INDEX('Tasks'!$M$2:$M$224,MATCH(I40,'Tasks'!$A$2:$A$224,0)),"BAD ID"))</x:f>
        <x:v>46310</x:v>
      </x:c>
      <x:c r="R40" s="14" t="n">
        <x:f>IF(J40="",0,IF(COUNTIFS('Tasks'!$A$2:$A$224,J40)=1,INDEX('Tasks'!$M$2:$M$224,MATCH(J40,'Tasks'!$A$2:$A$224,0)),"BAD ID"))</x:f>
        <x:v>46309</x:v>
      </x:c>
      <x:c r="S40" s="14" t="n">
        <x:f>IF(K40="",0,IF(COUNTIFS('Tasks'!$A$2:$A$224,K40)=1,INDEX('Tasks'!$M$2:$M$224,MATCH(K40,'Tasks'!$A$2:$A$224,0)),"BAD ID"))</x:f>
        <x:v>0</x:v>
      </x:c>
      <x:c r="T40" s="14" t="n">
        <x:f>IF(L40="",0,IF(COUNTIFS('Tasks'!$A$2:$A$224,L40)=1,INDEX('Tasks'!$M$2:$M$224,MATCH(L40,'Tasks'!$A$2:$A$224,0)),"BAD ID"))</x:f>
        <x:v>0</x:v>
      </x:c>
      <x:c r="U40" s="14" t="n">
        <x:f>IF(M40="",0,IF(COUNTIFS('Tasks'!$A$2:$A$224,M40)=1,INDEX('Tasks'!$M$2:$M$224,MATCH(M40,'Tasks'!$A$2:$A$224,0)),"BAD ID"))</x:f>
        <x:v>0</x:v>
      </x:c>
      <x:c r="V40" s="14" t="n">
        <x:f>IF(N40="",0,IF(COUNTIFS('Tasks'!$A$2:$A$224,N40)=1,INDEX('Tasks'!$M$2:$M$224,MATCH(N40,'Tasks'!$A$2:$A$224,0)),"BAD ID"))</x:f>
        <x:v>0</x:v>
      </x:c>
      <x:c r="W40" s="14" t="n">
        <x:f>IF(O40="",0,IF(COUNTIFS('Tasks'!$A$2:$A$224,O40)=1,INDEX('Tasks'!$M$2:$M$224,MATCH(O40,'Tasks'!$A$2:$A$224,0)),"BAD ID"))</x:f>
        <x:v>0</x:v>
      </x:c>
    </x:row>
    <x:row r="41" ht="28" customHeight="1">
      <x:c r="A41" s="2" t="str">
        <x:v>BL-D-06</x:v>
      </x:c>
      <x:c r="B41" s="2" t="str">
        <x:f>IF(VLOOKUP(A41,'Tasks'!$A$2:$X$224,15,FALSE)="","",VLOOKUP(A41,'Tasks'!$A$2:$X$224,15,FALSE))</x:f>
        <x:v>BL-D-05,BL-E-03,BL-C-05,BL-B-04</x:v>
      </x:c>
      <x:c r="C41" s="13" t="n">
        <x:f>VLOOKUP(A41,'Tasks'!$A$2:$X$224,12,FALSE)</x:f>
        <x:v>46312</x:v>
      </x:c>
      <x:c r="D41" s="2" t="n">
        <x:f>IF(B41="",0,LEN(B41)-LEN(SUBSTITUTE(B41,",",""))+1)</x:f>
        <x:v>4</x:v>
      </x:c>
      <x:c r="E41" s="14" t="n">
        <x:f>MAX(P41:W41)</x:f>
        <x:v>46311</x:v>
      </x:c>
      <x:c r="F41" s="2" t="n">
        <x:f>COUNTIFS(P41:W41,"BAD ID")</x:f>
        <x:v>0</x:v>
      </x:c>
      <x:c r="G41" s="2" t="str">
        <x:f>IF(D41&gt;8,"TOO MANY",IF(F41&gt;0,"BAD ID",IF(C41&gt;=E41,"OK","LATE")))</x:f>
        <x:v>OK</x:v>
      </x:c>
      <x:c r="H41" s="2" t="str">
        <x:f>TRIM(MID(SUBSTITUTE($B41,",",REPT(" ",100)),1,100))</x:f>
        <x:v>BL-D-05</x:v>
      </x:c>
      <x:c r="I41" s="2" t="str">
        <x:f>TRIM(MID(SUBSTITUTE($B41,",",REPT(" ",100)),101,100))</x:f>
        <x:v>BL-E-03</x:v>
      </x:c>
      <x:c r="J41" s="2" t="str">
        <x:f>TRIM(MID(SUBSTITUTE($B41,",",REPT(" ",100)),201,100))</x:f>
        <x:v>BL-C-05</x:v>
      </x:c>
      <x:c r="K41" s="2" t="str">
        <x:f>TRIM(MID(SUBSTITUTE($B41,",",REPT(" ",100)),301,100))</x:f>
        <x:v>BL-B-04</x:v>
      </x:c>
      <x:c r="L41" s="2" t="str">
        <x:f>TRIM(MID(SUBSTITUTE($B41,",",REPT(" ",100)),401,100))</x:f>
      </x:c>
      <x:c r="M41" s="2" t="str">
        <x:f>TRIM(MID(SUBSTITUTE($B41,",",REPT(" ",100)),501,100))</x:f>
      </x:c>
      <x:c r="N41" s="2" t="str">
        <x:f>TRIM(MID(SUBSTITUTE($B41,",",REPT(" ",100)),601,100))</x:f>
      </x:c>
      <x:c r="O41" s="2" t="str">
        <x:f>TRIM(MID(SUBSTITUTE($B41,",",REPT(" ",100)),701,100))</x:f>
      </x:c>
      <x:c r="P41" s="14" t="n">
        <x:f>IF(H41="",0,IF(COUNTIFS('Tasks'!$A$2:$A$224,H41)=1,INDEX('Tasks'!$M$2:$M$224,MATCH(H41,'Tasks'!$A$2:$A$224,0)),"BAD ID"))</x:f>
        <x:v>46311</x:v>
      </x:c>
      <x:c r="Q41" s="14" t="n">
        <x:f>IF(I41="",0,IF(COUNTIFS('Tasks'!$A$2:$A$224,I41)=1,INDEX('Tasks'!$M$2:$M$224,MATCH(I41,'Tasks'!$A$2:$A$224,0)),"BAD ID"))</x:f>
        <x:v>46311</x:v>
      </x:c>
      <x:c r="R41" s="14" t="n">
        <x:f>IF(J41="",0,IF(COUNTIFS('Tasks'!$A$2:$A$224,J41)=1,INDEX('Tasks'!$M$2:$M$224,MATCH(J41,'Tasks'!$A$2:$A$224,0)),"BAD ID"))</x:f>
        <x:v>46311</x:v>
      </x:c>
      <x:c r="S41" s="14" t="n">
        <x:f>IF(K41="",0,IF(COUNTIFS('Tasks'!$A$2:$A$224,K41)=1,INDEX('Tasks'!$M$2:$M$224,MATCH(K41,'Tasks'!$A$2:$A$224,0)),"BAD ID"))</x:f>
        <x:v>46311</x:v>
      </x:c>
      <x:c r="T41" s="14" t="n">
        <x:f>IF(L41="",0,IF(COUNTIFS('Tasks'!$A$2:$A$224,L41)=1,INDEX('Tasks'!$M$2:$M$224,MATCH(L41,'Tasks'!$A$2:$A$224,0)),"BAD ID"))</x:f>
        <x:v>0</x:v>
      </x:c>
      <x:c r="U41" s="14" t="n">
        <x:f>IF(M41="",0,IF(COUNTIFS('Tasks'!$A$2:$A$224,M41)=1,INDEX('Tasks'!$M$2:$M$224,MATCH(M41,'Tasks'!$A$2:$A$224,0)),"BAD ID"))</x:f>
        <x:v>0</x:v>
      </x:c>
      <x:c r="V41" s="14" t="n">
        <x:f>IF(N41="",0,IF(COUNTIFS('Tasks'!$A$2:$A$224,N41)=1,INDEX('Tasks'!$M$2:$M$224,MATCH(N41,'Tasks'!$A$2:$A$224,0)),"BAD ID"))</x:f>
        <x:v>0</x:v>
      </x:c>
      <x:c r="W41" s="14" t="n">
        <x:f>IF(O41="",0,IF(COUNTIFS('Tasks'!$A$2:$A$224,O41)=1,INDEX('Tasks'!$M$2:$M$224,MATCH(O41,'Tasks'!$A$2:$A$224,0)),"BAD ID"))</x:f>
        <x:v>0</x:v>
      </x:c>
    </x:row>
    <x:row r="42" ht="28" customHeight="1">
      <x:c r="A42" s="2" t="str">
        <x:v>G1-01</x:v>
      </x:c>
      <x:c r="B42" s="2" t="str">
        <x:f>IF(VLOOKUP(A42,'Tasks'!$A$2:$X$224,15,FALSE)="","",VLOOKUP(A42,'Tasks'!$A$2:$X$224,15,FALSE))</x:f>
        <x:v>TEST-02,TEST-03,BL-B-04,BL-F-04,BL-D-06</x:v>
      </x:c>
      <x:c r="C42" s="13" t="n">
        <x:f>VLOOKUP(A42,'Tasks'!$A$2:$X$224,12,FALSE)</x:f>
        <x:v>46313</x:v>
      </x:c>
      <x:c r="D42" s="2" t="n">
        <x:f>IF(B42="",0,LEN(B42)-LEN(SUBSTITUTE(B42,",",""))+1)</x:f>
        <x:v>5</x:v>
      </x:c>
      <x:c r="E42" s="14" t="n">
        <x:f>MAX(P42:W42)</x:f>
        <x:v>46312</x:v>
      </x:c>
      <x:c r="F42" s="2" t="n">
        <x:f>COUNTIFS(P42:W42,"BAD ID")</x:f>
        <x:v>0</x:v>
      </x:c>
      <x:c r="G42" s="2" t="str">
        <x:f>IF(D42&gt;8,"TOO MANY",IF(F42&gt;0,"BAD ID",IF(C42&gt;=E42,"OK","LATE")))</x:f>
        <x:v>OK</x:v>
      </x:c>
      <x:c r="H42" s="2" t="str">
        <x:f>TRIM(MID(SUBSTITUTE($B42,",",REPT(" ",100)),1,100))</x:f>
        <x:v>TEST-02</x:v>
      </x:c>
      <x:c r="I42" s="2" t="str">
        <x:f>TRIM(MID(SUBSTITUTE($B42,",",REPT(" ",100)),101,100))</x:f>
        <x:v>TEST-03</x:v>
      </x:c>
      <x:c r="J42" s="2" t="str">
        <x:f>TRIM(MID(SUBSTITUTE($B42,",",REPT(" ",100)),201,100))</x:f>
        <x:v>BL-B-04</x:v>
      </x:c>
      <x:c r="K42" s="2" t="str">
        <x:f>TRIM(MID(SUBSTITUTE($B42,",",REPT(" ",100)),301,100))</x:f>
        <x:v>BL-F-04</x:v>
      </x:c>
      <x:c r="L42" s="2" t="str">
        <x:f>TRIM(MID(SUBSTITUTE($B42,",",REPT(" ",100)),401,100))</x:f>
        <x:v>BL-D-06</x:v>
      </x:c>
      <x:c r="M42" s="2" t="str">
        <x:f>TRIM(MID(SUBSTITUTE($B42,",",REPT(" ",100)),501,100))</x:f>
      </x:c>
      <x:c r="N42" s="2" t="str">
        <x:f>TRIM(MID(SUBSTITUTE($B42,",",REPT(" ",100)),601,100))</x:f>
      </x:c>
      <x:c r="O42" s="2" t="str">
        <x:f>TRIM(MID(SUBSTITUTE($B42,",",REPT(" ",100)),701,100))</x:f>
      </x:c>
      <x:c r="P42" s="14" t="n">
        <x:f>IF(H42="",0,IF(COUNTIFS('Tasks'!$A$2:$A$224,H42)=1,INDEX('Tasks'!$M$2:$M$224,MATCH(H42,'Tasks'!$A$2:$A$224,0)),"BAD ID"))</x:f>
        <x:v>46312</x:v>
      </x:c>
      <x:c r="Q42" s="14" t="n">
        <x:f>IF(I42="",0,IF(COUNTIFS('Tasks'!$A$2:$A$224,I42)=1,INDEX('Tasks'!$M$2:$M$224,MATCH(I42,'Tasks'!$A$2:$A$224,0)),"BAD ID"))</x:f>
        <x:v>46312</x:v>
      </x:c>
      <x:c r="R42" s="14" t="n">
        <x:f>IF(J42="",0,IF(COUNTIFS('Tasks'!$A$2:$A$224,J42)=1,INDEX('Tasks'!$M$2:$M$224,MATCH(J42,'Tasks'!$A$2:$A$224,0)),"BAD ID"))</x:f>
        <x:v>46311</x:v>
      </x:c>
      <x:c r="S42" s="14" t="n">
        <x:f>IF(K42="",0,IF(COUNTIFS('Tasks'!$A$2:$A$224,K42)=1,INDEX('Tasks'!$M$2:$M$224,MATCH(K42,'Tasks'!$A$2:$A$224,0)),"BAD ID"))</x:f>
        <x:v>46311</x:v>
      </x:c>
      <x:c r="T42" s="14" t="n">
        <x:f>IF(L42="",0,IF(COUNTIFS('Tasks'!$A$2:$A$224,L42)=1,INDEX('Tasks'!$M$2:$M$224,MATCH(L42,'Tasks'!$A$2:$A$224,0)),"BAD ID"))</x:f>
        <x:v>46312</x:v>
      </x:c>
      <x:c r="U42" s="14" t="n">
        <x:f>IF(M42="",0,IF(COUNTIFS('Tasks'!$A$2:$A$224,M42)=1,INDEX('Tasks'!$M$2:$M$224,MATCH(M42,'Tasks'!$A$2:$A$224,0)),"BAD ID"))</x:f>
        <x:v>0</x:v>
      </x:c>
      <x:c r="V42" s="14" t="n">
        <x:f>IF(N42="",0,IF(COUNTIFS('Tasks'!$A$2:$A$224,N42)=1,INDEX('Tasks'!$M$2:$M$224,MATCH(N42,'Tasks'!$A$2:$A$224,0)),"BAD ID"))</x:f>
        <x:v>0</x:v>
      </x:c>
      <x:c r="W42" s="14" t="n">
        <x:f>IF(O42="",0,IF(COUNTIFS('Tasks'!$A$2:$A$224,O42)=1,INDEX('Tasks'!$M$2:$M$224,MATCH(O42,'Tasks'!$A$2:$A$224,0)),"BAD ID"))</x:f>
        <x:v>0</x:v>
      </x:c>
    </x:row>
    <x:row r="43" ht="28" customHeight="1">
      <x:c r="A43" s="2" t="str">
        <x:v>RV-06</x:v>
      </x:c>
      <x:c r="B43" s="2" t="str">
        <x:f>IF(VLOOKUP(A43,'Tasks'!$A$2:$X$224,15,FALSE)="","",VLOOKUP(A43,'Tasks'!$A$2:$X$224,15,FALSE))</x:f>
        <x:v>RV-03,BL-A-04</x:v>
      </x:c>
      <x:c r="C43" s="13" t="n">
        <x:f>VLOOKUP(A43,'Tasks'!$A$2:$X$224,12,FALSE)</x:f>
        <x:v>46313</x:v>
      </x:c>
      <x:c r="D43" s="2" t="n">
        <x:f>IF(B43="",0,LEN(B43)-LEN(SUBSTITUTE(B43,",",""))+1)</x:f>
        <x:v>2</x:v>
      </x:c>
      <x:c r="E43" s="14" t="n">
        <x:f>MAX(P43:W43)</x:f>
        <x:v>46310</x:v>
      </x:c>
      <x:c r="F43" s="2" t="n">
        <x:f>COUNTIFS(P43:W43,"BAD ID")</x:f>
        <x:v>0</x:v>
      </x:c>
      <x:c r="G43" s="2" t="str">
        <x:f>IF(D43&gt;8,"TOO MANY",IF(F43&gt;0,"BAD ID",IF(C43&gt;=E43,"OK","LATE")))</x:f>
        <x:v>OK</x:v>
      </x:c>
      <x:c r="H43" s="2" t="str">
        <x:f>TRIM(MID(SUBSTITUTE($B43,",",REPT(" ",100)),1,100))</x:f>
        <x:v>RV-03</x:v>
      </x:c>
      <x:c r="I43" s="2" t="str">
        <x:f>TRIM(MID(SUBSTITUTE($B43,",",REPT(" ",100)),101,100))</x:f>
        <x:v>BL-A-04</x:v>
      </x:c>
      <x:c r="J43" s="2" t="str">
        <x:f>TRIM(MID(SUBSTITUTE($B43,",",REPT(" ",100)),201,100))</x:f>
      </x:c>
      <x:c r="K43" s="2" t="str">
        <x:f>TRIM(MID(SUBSTITUTE($B43,",",REPT(" ",100)),301,100))</x:f>
      </x:c>
      <x:c r="L43" s="2" t="str">
        <x:f>TRIM(MID(SUBSTITUTE($B43,",",REPT(" ",100)),401,100))</x:f>
      </x:c>
      <x:c r="M43" s="2" t="str">
        <x:f>TRIM(MID(SUBSTITUTE($B43,",",REPT(" ",100)),501,100))</x:f>
      </x:c>
      <x:c r="N43" s="2" t="str">
        <x:f>TRIM(MID(SUBSTITUTE($B43,",",REPT(" ",100)),601,100))</x:f>
      </x:c>
      <x:c r="O43" s="2" t="str">
        <x:f>TRIM(MID(SUBSTITUTE($B43,",",REPT(" ",100)),701,100))</x:f>
      </x:c>
      <x:c r="P43" s="14" t="n">
        <x:f>IF(H43="",0,IF(COUNTIFS('Tasks'!$A$2:$A$224,H43)=1,INDEX('Tasks'!$M$2:$M$224,MATCH(H43,'Tasks'!$A$2:$A$224,0)),"BAD ID"))</x:f>
        <x:v>46308</x:v>
      </x:c>
      <x:c r="Q43" s="14" t="n">
        <x:f>IF(I43="",0,IF(COUNTIFS('Tasks'!$A$2:$A$224,I43)=1,INDEX('Tasks'!$M$2:$M$224,MATCH(I43,'Tasks'!$A$2:$A$224,0)),"BAD ID"))</x:f>
        <x:v>46310</x:v>
      </x:c>
      <x:c r="R43" s="14" t="n">
        <x:f>IF(J43="",0,IF(COUNTIFS('Tasks'!$A$2:$A$224,J43)=1,INDEX('Tasks'!$M$2:$M$224,MATCH(J43,'Tasks'!$A$2:$A$224,0)),"BAD ID"))</x:f>
        <x:v>0</x:v>
      </x:c>
      <x:c r="S43" s="14" t="n">
        <x:f>IF(K43="",0,IF(COUNTIFS('Tasks'!$A$2:$A$224,K43)=1,INDEX('Tasks'!$M$2:$M$224,MATCH(K43,'Tasks'!$A$2:$A$224,0)),"BAD ID"))</x:f>
        <x:v>0</x:v>
      </x:c>
      <x:c r="T43" s="14" t="n">
        <x:f>IF(L43="",0,IF(COUNTIFS('Tasks'!$A$2:$A$224,L43)=1,INDEX('Tasks'!$M$2:$M$224,MATCH(L43,'Tasks'!$A$2:$A$224,0)),"BAD ID"))</x:f>
        <x:v>0</x:v>
      </x:c>
      <x:c r="U43" s="14" t="n">
        <x:f>IF(M43="",0,IF(COUNTIFS('Tasks'!$A$2:$A$224,M43)=1,INDEX('Tasks'!$M$2:$M$224,MATCH(M43,'Tasks'!$A$2:$A$224,0)),"BAD ID"))</x:f>
        <x:v>0</x:v>
      </x:c>
      <x:c r="V43" s="14" t="n">
        <x:f>IF(N43="",0,IF(COUNTIFS('Tasks'!$A$2:$A$224,N43)=1,INDEX('Tasks'!$M$2:$M$224,MATCH(N43,'Tasks'!$A$2:$A$224,0)),"BAD ID"))</x:f>
        <x:v>0</x:v>
      </x:c>
      <x:c r="W43" s="14" t="n">
        <x:f>IF(O43="",0,IF(COUNTIFS('Tasks'!$A$2:$A$224,O43)=1,INDEX('Tasks'!$M$2:$M$224,MATCH(O43,'Tasks'!$A$2:$A$224,0)),"BAD ID"))</x:f>
        <x:v>0</x:v>
      </x:c>
    </x:row>
    <x:row r="44" ht="28" customHeight="1">
      <x:c r="A44" s="2" t="str">
        <x:v>BL-F-05</x:v>
      </x:c>
      <x:c r="B44" s="2" t="str">
        <x:f>IF(VLOOKUP(A44,'Tasks'!$A$2:$X$224,15,FALSE)="","",VLOOKUP(A44,'Tasks'!$A$2:$X$224,15,FALSE))</x:f>
        <x:v>BL-F-04,BL-D-06</x:v>
      </x:c>
      <x:c r="C44" s="13" t="n">
        <x:f>VLOOKUP(A44,'Tasks'!$A$2:$X$224,12,FALSE)</x:f>
        <x:v>46312</x:v>
      </x:c>
      <x:c r="D44" s="2" t="n">
        <x:f>IF(B44="",0,LEN(B44)-LEN(SUBSTITUTE(B44,",",""))+1)</x:f>
        <x:v>2</x:v>
      </x:c>
      <x:c r="E44" s="14" t="n">
        <x:f>MAX(P44:W44)</x:f>
        <x:v>46312</x:v>
      </x:c>
      <x:c r="F44" s="2" t="n">
        <x:f>COUNTIFS(P44:W44,"BAD ID")</x:f>
        <x:v>0</x:v>
      </x:c>
      <x:c r="G44" s="2" t="str">
        <x:f>IF(D44&gt;8,"TOO MANY",IF(F44&gt;0,"BAD ID",IF(C44&gt;=E44,"OK","LATE")))</x:f>
        <x:v>OK</x:v>
      </x:c>
      <x:c r="H44" s="2" t="str">
        <x:f>TRIM(MID(SUBSTITUTE($B44,",",REPT(" ",100)),1,100))</x:f>
        <x:v>BL-F-04</x:v>
      </x:c>
      <x:c r="I44" s="2" t="str">
        <x:f>TRIM(MID(SUBSTITUTE($B44,",",REPT(" ",100)),101,100))</x:f>
        <x:v>BL-D-06</x:v>
      </x:c>
      <x:c r="J44" s="2" t="str">
        <x:f>TRIM(MID(SUBSTITUTE($B44,",",REPT(" ",100)),201,100))</x:f>
      </x:c>
      <x:c r="K44" s="2" t="str">
        <x:f>TRIM(MID(SUBSTITUTE($B44,",",REPT(" ",100)),301,100))</x:f>
      </x:c>
      <x:c r="L44" s="2" t="str">
        <x:f>TRIM(MID(SUBSTITUTE($B44,",",REPT(" ",100)),401,100))</x:f>
      </x:c>
      <x:c r="M44" s="2" t="str">
        <x:f>TRIM(MID(SUBSTITUTE($B44,",",REPT(" ",100)),501,100))</x:f>
      </x:c>
      <x:c r="N44" s="2" t="str">
        <x:f>TRIM(MID(SUBSTITUTE($B44,",",REPT(" ",100)),601,100))</x:f>
      </x:c>
      <x:c r="O44" s="2" t="str">
        <x:f>TRIM(MID(SUBSTITUTE($B44,",",REPT(" ",100)),701,100))</x:f>
      </x:c>
      <x:c r="P44" s="14" t="n">
        <x:f>IF(H44="",0,IF(COUNTIFS('Tasks'!$A$2:$A$224,H44)=1,INDEX('Tasks'!$M$2:$M$224,MATCH(H44,'Tasks'!$A$2:$A$224,0)),"BAD ID"))</x:f>
        <x:v>46311</x:v>
      </x:c>
      <x:c r="Q44" s="14" t="n">
        <x:f>IF(I44="",0,IF(COUNTIFS('Tasks'!$A$2:$A$224,I44)=1,INDEX('Tasks'!$M$2:$M$224,MATCH(I44,'Tasks'!$A$2:$A$224,0)),"BAD ID"))</x:f>
        <x:v>46312</x:v>
      </x:c>
      <x:c r="R44" s="14" t="n">
        <x:f>IF(J44="",0,IF(COUNTIFS('Tasks'!$A$2:$A$224,J44)=1,INDEX('Tasks'!$M$2:$M$224,MATCH(J44,'Tasks'!$A$2:$A$224,0)),"BAD ID"))</x:f>
        <x:v>0</x:v>
      </x:c>
      <x:c r="S44" s="14" t="n">
        <x:f>IF(K44="",0,IF(COUNTIFS('Tasks'!$A$2:$A$224,K44)=1,INDEX('Tasks'!$M$2:$M$224,MATCH(K44,'Tasks'!$A$2:$A$224,0)),"BAD ID"))</x:f>
        <x:v>0</x:v>
      </x:c>
      <x:c r="T44" s="14" t="n">
        <x:f>IF(L44="",0,IF(COUNTIFS('Tasks'!$A$2:$A$224,L44)=1,INDEX('Tasks'!$M$2:$M$224,MATCH(L44,'Tasks'!$A$2:$A$224,0)),"BAD ID"))</x:f>
        <x:v>0</x:v>
      </x:c>
      <x:c r="U44" s="14" t="n">
        <x:f>IF(M44="",0,IF(COUNTIFS('Tasks'!$A$2:$A$224,M44)=1,INDEX('Tasks'!$M$2:$M$224,MATCH(M44,'Tasks'!$A$2:$A$224,0)),"BAD ID"))</x:f>
        <x:v>0</x:v>
      </x:c>
      <x:c r="V44" s="14" t="n">
        <x:f>IF(N44="",0,IF(COUNTIFS('Tasks'!$A$2:$A$224,N44)=1,INDEX('Tasks'!$M$2:$M$224,MATCH(N44,'Tasks'!$A$2:$A$224,0)),"BAD ID"))</x:f>
        <x:v>0</x:v>
      </x:c>
      <x:c r="W44" s="14" t="n">
        <x:f>IF(O44="",0,IF(COUNTIFS('Tasks'!$A$2:$A$224,O44)=1,INDEX('Tasks'!$M$2:$M$224,MATCH(O44,'Tasks'!$A$2:$A$224,0)),"BAD ID"))</x:f>
        <x:v>0</x:v>
      </x:c>
    </x:row>
    <x:row r="45" ht="28" customHeight="1">
      <x:c r="A45" s="2" t="str">
        <x:v>BL-D-07</x:v>
      </x:c>
      <x:c r="B45" s="2" t="str">
        <x:f>IF(VLOOKUP(A45,'Tasks'!$A$2:$X$224,15,FALSE)="","",VLOOKUP(A45,'Tasks'!$A$2:$X$224,15,FALSE))</x:f>
        <x:v>BL-D-05,BL-D-06</x:v>
      </x:c>
      <x:c r="C45" s="13" t="n">
        <x:f>VLOOKUP(A45,'Tasks'!$A$2:$X$224,12,FALSE)</x:f>
        <x:v>46313</x:v>
      </x:c>
      <x:c r="D45" s="2" t="n">
        <x:f>IF(B45="",0,LEN(B45)-LEN(SUBSTITUTE(B45,",",""))+1)</x:f>
        <x:v>2</x:v>
      </x:c>
      <x:c r="E45" s="14" t="n">
        <x:f>MAX(P45:W45)</x:f>
        <x:v>46312</x:v>
      </x:c>
      <x:c r="F45" s="2" t="n">
        <x:f>COUNTIFS(P45:W45,"BAD ID")</x:f>
        <x:v>0</x:v>
      </x:c>
      <x:c r="G45" s="2" t="str">
        <x:f>IF(D45&gt;8,"TOO MANY",IF(F45&gt;0,"BAD ID",IF(C45&gt;=E45,"OK","LATE")))</x:f>
        <x:v>OK</x:v>
      </x:c>
      <x:c r="H45" s="2" t="str">
        <x:f>TRIM(MID(SUBSTITUTE($B45,",",REPT(" ",100)),1,100))</x:f>
        <x:v>BL-D-05</x:v>
      </x:c>
      <x:c r="I45" s="2" t="str">
        <x:f>TRIM(MID(SUBSTITUTE($B45,",",REPT(" ",100)),101,100))</x:f>
        <x:v>BL-D-06</x:v>
      </x:c>
      <x:c r="J45" s="2" t="str">
        <x:f>TRIM(MID(SUBSTITUTE($B45,",",REPT(" ",100)),201,100))</x:f>
      </x:c>
      <x:c r="K45" s="2" t="str">
        <x:f>TRIM(MID(SUBSTITUTE($B45,",",REPT(" ",100)),301,100))</x:f>
      </x:c>
      <x:c r="L45" s="2" t="str">
        <x:f>TRIM(MID(SUBSTITUTE($B45,",",REPT(" ",100)),401,100))</x:f>
      </x:c>
      <x:c r="M45" s="2" t="str">
        <x:f>TRIM(MID(SUBSTITUTE($B45,",",REPT(" ",100)),501,100))</x:f>
      </x:c>
      <x:c r="N45" s="2" t="str">
        <x:f>TRIM(MID(SUBSTITUTE($B45,",",REPT(" ",100)),601,100))</x:f>
      </x:c>
      <x:c r="O45" s="2" t="str">
        <x:f>TRIM(MID(SUBSTITUTE($B45,",",REPT(" ",100)),701,100))</x:f>
      </x:c>
      <x:c r="P45" s="14" t="n">
        <x:f>IF(H45="",0,IF(COUNTIFS('Tasks'!$A$2:$A$224,H45)=1,INDEX('Tasks'!$M$2:$M$224,MATCH(H45,'Tasks'!$A$2:$A$224,0)),"BAD ID"))</x:f>
        <x:v>46311</x:v>
      </x:c>
      <x:c r="Q45" s="14" t="n">
        <x:f>IF(I45="",0,IF(COUNTIFS('Tasks'!$A$2:$A$224,I45)=1,INDEX('Tasks'!$M$2:$M$224,MATCH(I45,'Tasks'!$A$2:$A$224,0)),"BAD ID"))</x:f>
        <x:v>46312</x:v>
      </x:c>
      <x:c r="R45" s="14" t="n">
        <x:f>IF(J45="",0,IF(COUNTIFS('Tasks'!$A$2:$A$224,J45)=1,INDEX('Tasks'!$M$2:$M$224,MATCH(J45,'Tasks'!$A$2:$A$224,0)),"BAD ID"))</x:f>
        <x:v>0</x:v>
      </x:c>
      <x:c r="S45" s="14" t="n">
        <x:f>IF(K45="",0,IF(COUNTIFS('Tasks'!$A$2:$A$224,K45)=1,INDEX('Tasks'!$M$2:$M$224,MATCH(K45,'Tasks'!$A$2:$A$224,0)),"BAD ID"))</x:f>
        <x:v>0</x:v>
      </x:c>
      <x:c r="T45" s="14" t="n">
        <x:f>IF(L45="",0,IF(COUNTIFS('Tasks'!$A$2:$A$224,L45)=1,INDEX('Tasks'!$M$2:$M$224,MATCH(L45,'Tasks'!$A$2:$A$224,0)),"BAD ID"))</x:f>
        <x:v>0</x:v>
      </x:c>
      <x:c r="U45" s="14" t="n">
        <x:f>IF(M45="",0,IF(COUNTIFS('Tasks'!$A$2:$A$224,M45)=1,INDEX('Tasks'!$M$2:$M$224,MATCH(M45,'Tasks'!$A$2:$A$224,0)),"BAD ID"))</x:f>
        <x:v>0</x:v>
      </x:c>
      <x:c r="V45" s="14" t="n">
        <x:f>IF(N45="",0,IF(COUNTIFS('Tasks'!$A$2:$A$224,N45)=1,INDEX('Tasks'!$M$2:$M$224,MATCH(N45,'Tasks'!$A$2:$A$224,0)),"BAD ID"))</x:f>
        <x:v>0</x:v>
      </x:c>
      <x:c r="W45" s="14" t="n">
        <x:f>IF(O45="",0,IF(COUNTIFS('Tasks'!$A$2:$A$224,O45)=1,INDEX('Tasks'!$M$2:$M$224,MATCH(O45,'Tasks'!$A$2:$A$224,0)),"BAD ID"))</x:f>
        <x:v>0</x:v>
      </x:c>
    </x:row>
    <x:row r="46" ht="28" customHeight="1">
      <x:c r="A46" s="2" t="str">
        <x:v>BL-C-06</x:v>
      </x:c>
      <x:c r="B46" s="2" t="str">
        <x:f>IF(VLOOKUP(A46,'Tasks'!$A$2:$X$224,15,FALSE)="","",VLOOKUP(A46,'Tasks'!$A$2:$X$224,15,FALSE))</x:f>
        <x:v>BL-C-05,BL-D-04</x:v>
      </x:c>
      <x:c r="C46" s="13" t="n">
        <x:f>VLOOKUP(A46,'Tasks'!$A$2:$X$224,12,FALSE)</x:f>
        <x:v>46313</x:v>
      </x:c>
      <x:c r="D46" s="2" t="n">
        <x:f>IF(B46="",0,LEN(B46)-LEN(SUBSTITUTE(B46,",",""))+1)</x:f>
        <x:v>2</x:v>
      </x:c>
      <x:c r="E46" s="14" t="n">
        <x:f>MAX(P46:W46)</x:f>
        <x:v>46311</x:v>
      </x:c>
      <x:c r="F46" s="2" t="n">
        <x:f>COUNTIFS(P46:W46,"BAD ID")</x:f>
        <x:v>0</x:v>
      </x:c>
      <x:c r="G46" s="2" t="str">
        <x:f>IF(D46&gt;8,"TOO MANY",IF(F46&gt;0,"BAD ID",IF(C46&gt;=E46,"OK","LATE")))</x:f>
        <x:v>OK</x:v>
      </x:c>
      <x:c r="H46" s="2" t="str">
        <x:f>TRIM(MID(SUBSTITUTE($B46,",",REPT(" ",100)),1,100))</x:f>
        <x:v>BL-C-05</x:v>
      </x:c>
      <x:c r="I46" s="2" t="str">
        <x:f>TRIM(MID(SUBSTITUTE($B46,",",REPT(" ",100)),101,100))</x:f>
        <x:v>BL-D-04</x:v>
      </x:c>
      <x:c r="J46" s="2" t="str">
        <x:f>TRIM(MID(SUBSTITUTE($B46,",",REPT(" ",100)),201,100))</x:f>
      </x:c>
      <x:c r="K46" s="2" t="str">
        <x:f>TRIM(MID(SUBSTITUTE($B46,",",REPT(" ",100)),301,100))</x:f>
      </x:c>
      <x:c r="L46" s="2" t="str">
        <x:f>TRIM(MID(SUBSTITUTE($B46,",",REPT(" ",100)),401,100))</x:f>
      </x:c>
      <x:c r="M46" s="2" t="str">
        <x:f>TRIM(MID(SUBSTITUTE($B46,",",REPT(" ",100)),501,100))</x:f>
      </x:c>
      <x:c r="N46" s="2" t="str">
        <x:f>TRIM(MID(SUBSTITUTE($B46,",",REPT(" ",100)),601,100))</x:f>
      </x:c>
      <x:c r="O46" s="2" t="str">
        <x:f>TRIM(MID(SUBSTITUTE($B46,",",REPT(" ",100)),701,100))</x:f>
      </x:c>
      <x:c r="P46" s="14" t="n">
        <x:f>IF(H46="",0,IF(COUNTIFS('Tasks'!$A$2:$A$224,H46)=1,INDEX('Tasks'!$M$2:$M$224,MATCH(H46,'Tasks'!$A$2:$A$224,0)),"BAD ID"))</x:f>
        <x:v>46311</x:v>
      </x:c>
      <x:c r="Q46" s="14" t="n">
        <x:f>IF(I46="",0,IF(COUNTIFS('Tasks'!$A$2:$A$224,I46)=1,INDEX('Tasks'!$M$2:$M$224,MATCH(I46,'Tasks'!$A$2:$A$224,0)),"BAD ID"))</x:f>
        <x:v>46310</x:v>
      </x:c>
      <x:c r="R46" s="14" t="n">
        <x:f>IF(J46="",0,IF(COUNTIFS('Tasks'!$A$2:$A$224,J46)=1,INDEX('Tasks'!$M$2:$M$224,MATCH(J46,'Tasks'!$A$2:$A$224,0)),"BAD ID"))</x:f>
        <x:v>0</x:v>
      </x:c>
      <x:c r="S46" s="14" t="n">
        <x:f>IF(K46="",0,IF(COUNTIFS('Tasks'!$A$2:$A$224,K46)=1,INDEX('Tasks'!$M$2:$M$224,MATCH(K46,'Tasks'!$A$2:$A$224,0)),"BAD ID"))</x:f>
        <x:v>0</x:v>
      </x:c>
      <x:c r="T46" s="14" t="n">
        <x:f>IF(L46="",0,IF(COUNTIFS('Tasks'!$A$2:$A$224,L46)=1,INDEX('Tasks'!$M$2:$M$224,MATCH(L46,'Tasks'!$A$2:$A$224,0)),"BAD ID"))</x:f>
        <x:v>0</x:v>
      </x:c>
      <x:c r="U46" s="14" t="n">
        <x:f>IF(M46="",0,IF(COUNTIFS('Tasks'!$A$2:$A$224,M46)=1,INDEX('Tasks'!$M$2:$M$224,MATCH(M46,'Tasks'!$A$2:$A$224,0)),"BAD ID"))</x:f>
        <x:v>0</x:v>
      </x:c>
      <x:c r="V46" s="14" t="n">
        <x:f>IF(N46="",0,IF(COUNTIFS('Tasks'!$A$2:$A$224,N46)=1,INDEX('Tasks'!$M$2:$M$224,MATCH(N46,'Tasks'!$A$2:$A$224,0)),"BAD ID"))</x:f>
        <x:v>0</x:v>
      </x:c>
      <x:c r="W46" s="14" t="n">
        <x:f>IF(O46="",0,IF(COUNTIFS('Tasks'!$A$2:$A$224,O46)=1,INDEX('Tasks'!$M$2:$M$224,MATCH(O46,'Tasks'!$A$2:$A$224,0)),"BAD ID"))</x:f>
        <x:v>0</x:v>
      </x:c>
    </x:row>
    <x:row r="47" ht="28" customHeight="1">
      <x:c r="A47" s="2" t="str">
        <x:v>BL-B-06</x:v>
      </x:c>
      <x:c r="B47" s="2" t="str">
        <x:f>IF(VLOOKUP(A47,'Tasks'!$A$2:$X$224,15,FALSE)="","",VLOOKUP(A47,'Tasks'!$A$2:$X$224,15,FALSE))</x:f>
        <x:v>BL-B-02,BL-A-04,BL-F-05</x:v>
      </x:c>
      <x:c r="C47" s="13" t="n">
        <x:f>VLOOKUP(A47,'Tasks'!$A$2:$X$224,12,FALSE)</x:f>
        <x:v>46314</x:v>
      </x:c>
      <x:c r="D47" s="2" t="n">
        <x:f>IF(B47="",0,LEN(B47)-LEN(SUBSTITUTE(B47,",",""))+1)</x:f>
        <x:v>3</x:v>
      </x:c>
      <x:c r="E47" s="14" t="n">
        <x:f>MAX(P47:W47)</x:f>
        <x:v>46312</x:v>
      </x:c>
      <x:c r="F47" s="2" t="n">
        <x:f>COUNTIFS(P47:W47,"BAD ID")</x:f>
        <x:v>0</x:v>
      </x:c>
      <x:c r="G47" s="2" t="str">
        <x:f>IF(D47&gt;8,"TOO MANY",IF(F47&gt;0,"BAD ID",IF(C47&gt;=E47,"OK","LATE")))</x:f>
        <x:v>OK</x:v>
      </x:c>
      <x:c r="H47" s="2" t="str">
        <x:f>TRIM(MID(SUBSTITUTE($B47,",",REPT(" ",100)),1,100))</x:f>
        <x:v>BL-B-02</x:v>
      </x:c>
      <x:c r="I47" s="2" t="str">
        <x:f>TRIM(MID(SUBSTITUTE($B47,",",REPT(" ",100)),101,100))</x:f>
        <x:v>BL-A-04</x:v>
      </x:c>
      <x:c r="J47" s="2" t="str">
        <x:f>TRIM(MID(SUBSTITUTE($B47,",",REPT(" ",100)),201,100))</x:f>
        <x:v>BL-F-05</x:v>
      </x:c>
      <x:c r="K47" s="2" t="str">
        <x:f>TRIM(MID(SUBSTITUTE($B47,",",REPT(" ",100)),301,100))</x:f>
      </x:c>
      <x:c r="L47" s="2" t="str">
        <x:f>TRIM(MID(SUBSTITUTE($B47,",",REPT(" ",100)),401,100))</x:f>
      </x:c>
      <x:c r="M47" s="2" t="str">
        <x:f>TRIM(MID(SUBSTITUTE($B47,",",REPT(" ",100)),501,100))</x:f>
      </x:c>
      <x:c r="N47" s="2" t="str">
        <x:f>TRIM(MID(SUBSTITUTE($B47,",",REPT(" ",100)),601,100))</x:f>
      </x:c>
      <x:c r="O47" s="2" t="str">
        <x:f>TRIM(MID(SUBSTITUTE($B47,",",REPT(" ",100)),701,100))</x:f>
      </x:c>
      <x:c r="P47" s="14" t="n">
        <x:f>IF(H47="",0,IF(COUNTIFS('Tasks'!$A$2:$A$224,H47)=1,INDEX('Tasks'!$M$2:$M$224,MATCH(H47,'Tasks'!$A$2:$A$224,0)),"BAD ID"))</x:f>
        <x:v>46309</x:v>
      </x:c>
      <x:c r="Q47" s="14" t="n">
        <x:f>IF(I47="",0,IF(COUNTIFS('Tasks'!$A$2:$A$224,I47)=1,INDEX('Tasks'!$M$2:$M$224,MATCH(I47,'Tasks'!$A$2:$A$224,0)),"BAD ID"))</x:f>
        <x:v>46310</x:v>
      </x:c>
      <x:c r="R47" s="14" t="n">
        <x:f>IF(J47="",0,IF(COUNTIFS('Tasks'!$A$2:$A$224,J47)=1,INDEX('Tasks'!$M$2:$M$224,MATCH(J47,'Tasks'!$A$2:$A$224,0)),"BAD ID"))</x:f>
        <x:v>46312</x:v>
      </x:c>
      <x:c r="S47" s="14" t="n">
        <x:f>IF(K47="",0,IF(COUNTIFS('Tasks'!$A$2:$A$224,K47)=1,INDEX('Tasks'!$M$2:$M$224,MATCH(K47,'Tasks'!$A$2:$A$224,0)),"BAD ID"))</x:f>
        <x:v>0</x:v>
      </x:c>
      <x:c r="T47" s="14" t="n">
        <x:f>IF(L47="",0,IF(COUNTIFS('Tasks'!$A$2:$A$224,L47)=1,INDEX('Tasks'!$M$2:$M$224,MATCH(L47,'Tasks'!$A$2:$A$224,0)),"BAD ID"))</x:f>
        <x:v>0</x:v>
      </x:c>
      <x:c r="U47" s="14" t="n">
        <x:f>IF(M47="",0,IF(COUNTIFS('Tasks'!$A$2:$A$224,M47)=1,INDEX('Tasks'!$M$2:$M$224,MATCH(M47,'Tasks'!$A$2:$A$224,0)),"BAD ID"))</x:f>
        <x:v>0</x:v>
      </x:c>
      <x:c r="V47" s="14" t="n">
        <x:f>IF(N47="",0,IF(COUNTIFS('Tasks'!$A$2:$A$224,N47)=1,INDEX('Tasks'!$M$2:$M$224,MATCH(N47,'Tasks'!$A$2:$A$224,0)),"BAD ID"))</x:f>
        <x:v>0</x:v>
      </x:c>
      <x:c r="W47" s="14" t="n">
        <x:f>IF(O47="",0,IF(COUNTIFS('Tasks'!$A$2:$A$224,O47)=1,INDEX('Tasks'!$M$2:$M$224,MATCH(O47,'Tasks'!$A$2:$A$224,0)),"BAD ID"))</x:f>
        <x:v>0</x:v>
      </x:c>
    </x:row>
    <x:row r="48" ht="28" customHeight="1">
      <x:c r="A48" s="2" t="str">
        <x:v>BL-D-08</x:v>
      </x:c>
      <x:c r="B48" s="2" t="str">
        <x:f>IF(VLOOKUP(A48,'Tasks'!$A$2:$X$224,15,FALSE)="","",VLOOKUP(A48,'Tasks'!$A$2:$X$224,15,FALSE))</x:f>
        <x:v>BL-D-07,BL-C-06</x:v>
      </x:c>
      <x:c r="C48" s="13" t="n">
        <x:f>VLOOKUP(A48,'Tasks'!$A$2:$X$224,12,FALSE)</x:f>
        <x:v>46314</x:v>
      </x:c>
      <x:c r="D48" s="2" t="n">
        <x:f>IF(B48="",0,LEN(B48)-LEN(SUBSTITUTE(B48,",",""))+1)</x:f>
        <x:v>2</x:v>
      </x:c>
      <x:c r="E48" s="14" t="n">
        <x:f>MAX(P48:W48)</x:f>
        <x:v>46313</x:v>
      </x:c>
      <x:c r="F48" s="2" t="n">
        <x:f>COUNTIFS(P48:W48,"BAD ID")</x:f>
        <x:v>0</x:v>
      </x:c>
      <x:c r="G48" s="2" t="str">
        <x:f>IF(D48&gt;8,"TOO MANY",IF(F48&gt;0,"BAD ID",IF(C48&gt;=E48,"OK","LATE")))</x:f>
        <x:v>OK</x:v>
      </x:c>
      <x:c r="H48" s="2" t="str">
        <x:f>TRIM(MID(SUBSTITUTE($B48,",",REPT(" ",100)),1,100))</x:f>
        <x:v>BL-D-07</x:v>
      </x:c>
      <x:c r="I48" s="2" t="str">
        <x:f>TRIM(MID(SUBSTITUTE($B48,",",REPT(" ",100)),101,100))</x:f>
        <x:v>BL-C-06</x:v>
      </x:c>
      <x:c r="J48" s="2" t="str">
        <x:f>TRIM(MID(SUBSTITUTE($B48,",",REPT(" ",100)),201,100))</x:f>
      </x:c>
      <x:c r="K48" s="2" t="str">
        <x:f>TRIM(MID(SUBSTITUTE($B48,",",REPT(" ",100)),301,100))</x:f>
      </x:c>
      <x:c r="L48" s="2" t="str">
        <x:f>TRIM(MID(SUBSTITUTE($B48,",",REPT(" ",100)),401,100))</x:f>
      </x:c>
      <x:c r="M48" s="2" t="str">
        <x:f>TRIM(MID(SUBSTITUTE($B48,",",REPT(" ",100)),501,100))</x:f>
      </x:c>
      <x:c r="N48" s="2" t="str">
        <x:f>TRIM(MID(SUBSTITUTE($B48,",",REPT(" ",100)),601,100))</x:f>
      </x:c>
      <x:c r="O48" s="2" t="str">
        <x:f>TRIM(MID(SUBSTITUTE($B48,",",REPT(" ",100)),701,100))</x:f>
      </x:c>
      <x:c r="P48" s="14" t="n">
        <x:f>IF(H48="",0,IF(COUNTIFS('Tasks'!$A$2:$A$224,H48)=1,INDEX('Tasks'!$M$2:$M$224,MATCH(H48,'Tasks'!$A$2:$A$224,0)),"BAD ID"))</x:f>
        <x:v>46313</x:v>
      </x:c>
      <x:c r="Q48" s="14" t="n">
        <x:f>IF(I48="",0,IF(COUNTIFS('Tasks'!$A$2:$A$224,I48)=1,INDEX('Tasks'!$M$2:$M$224,MATCH(I48,'Tasks'!$A$2:$A$224,0)),"BAD ID"))</x:f>
        <x:v>46313</x:v>
      </x:c>
      <x:c r="R48" s="14" t="n">
        <x:f>IF(J48="",0,IF(COUNTIFS('Tasks'!$A$2:$A$224,J48)=1,INDEX('Tasks'!$M$2:$M$224,MATCH(J48,'Tasks'!$A$2:$A$224,0)),"BAD ID"))</x:f>
        <x:v>0</x:v>
      </x:c>
      <x:c r="S48" s="14" t="n">
        <x:f>IF(K48="",0,IF(COUNTIFS('Tasks'!$A$2:$A$224,K48)=1,INDEX('Tasks'!$M$2:$M$224,MATCH(K48,'Tasks'!$A$2:$A$224,0)),"BAD ID"))</x:f>
        <x:v>0</x:v>
      </x:c>
      <x:c r="T48" s="14" t="n">
        <x:f>IF(L48="",0,IF(COUNTIFS('Tasks'!$A$2:$A$224,L48)=1,INDEX('Tasks'!$M$2:$M$224,MATCH(L48,'Tasks'!$A$2:$A$224,0)),"BAD ID"))</x:f>
        <x:v>0</x:v>
      </x:c>
      <x:c r="U48" s="14" t="n">
        <x:f>IF(M48="",0,IF(COUNTIFS('Tasks'!$A$2:$A$224,M48)=1,INDEX('Tasks'!$M$2:$M$224,MATCH(M48,'Tasks'!$A$2:$A$224,0)),"BAD ID"))</x:f>
        <x:v>0</x:v>
      </x:c>
      <x:c r="V48" s="14" t="n">
        <x:f>IF(N48="",0,IF(COUNTIFS('Tasks'!$A$2:$A$224,N48)=1,INDEX('Tasks'!$M$2:$M$224,MATCH(N48,'Tasks'!$A$2:$A$224,0)),"BAD ID"))</x:f>
        <x:v>0</x:v>
      </x:c>
      <x:c r="W48" s="14" t="n">
        <x:f>IF(O48="",0,IF(COUNTIFS('Tasks'!$A$2:$A$224,O48)=1,INDEX('Tasks'!$M$2:$M$224,MATCH(O48,'Tasks'!$A$2:$A$224,0)),"BAD ID"))</x:f>
        <x:v>0</x:v>
      </x:c>
    </x:row>
    <x:row r="49" ht="28" customHeight="1">
      <x:c r="A49" s="2" t="str">
        <x:v>BL-F-06</x:v>
      </x:c>
      <x:c r="B49" s="2" t="str">
        <x:f>IF(VLOOKUP(A49,'Tasks'!$A$2:$X$224,15,FALSE)="","",VLOOKUP(A49,'Tasks'!$A$2:$X$224,15,FALSE))</x:f>
        <x:v>BL-D-08,BL-C-06,BL-F-05</x:v>
      </x:c>
      <x:c r="C49" s="13" t="n">
        <x:f>VLOOKUP(A49,'Tasks'!$A$2:$X$224,12,FALSE)</x:f>
        <x:v>46315</x:v>
      </x:c>
      <x:c r="D49" s="2" t="n">
        <x:f>IF(B49="",0,LEN(B49)-LEN(SUBSTITUTE(B49,",",""))+1)</x:f>
        <x:v>3</x:v>
      </x:c>
      <x:c r="E49" s="14" t="n">
        <x:f>MAX(P49:W49)</x:f>
        <x:v>46314</x:v>
      </x:c>
      <x:c r="F49" s="2" t="n">
        <x:f>COUNTIFS(P49:W49,"BAD ID")</x:f>
        <x:v>0</x:v>
      </x:c>
      <x:c r="G49" s="2" t="str">
        <x:f>IF(D49&gt;8,"TOO MANY",IF(F49&gt;0,"BAD ID",IF(C49&gt;=E49,"OK","LATE")))</x:f>
        <x:v>OK</x:v>
      </x:c>
      <x:c r="H49" s="2" t="str">
        <x:f>TRIM(MID(SUBSTITUTE($B49,",",REPT(" ",100)),1,100))</x:f>
        <x:v>BL-D-08</x:v>
      </x:c>
      <x:c r="I49" s="2" t="str">
        <x:f>TRIM(MID(SUBSTITUTE($B49,",",REPT(" ",100)),101,100))</x:f>
        <x:v>BL-C-06</x:v>
      </x:c>
      <x:c r="J49" s="2" t="str">
        <x:f>TRIM(MID(SUBSTITUTE($B49,",",REPT(" ",100)),201,100))</x:f>
        <x:v>BL-F-05</x:v>
      </x:c>
      <x:c r="K49" s="2" t="str">
        <x:f>TRIM(MID(SUBSTITUTE($B49,",",REPT(" ",100)),301,100))</x:f>
      </x:c>
      <x:c r="L49" s="2" t="str">
        <x:f>TRIM(MID(SUBSTITUTE($B49,",",REPT(" ",100)),401,100))</x:f>
      </x:c>
      <x:c r="M49" s="2" t="str">
        <x:f>TRIM(MID(SUBSTITUTE($B49,",",REPT(" ",100)),501,100))</x:f>
      </x:c>
      <x:c r="N49" s="2" t="str">
        <x:f>TRIM(MID(SUBSTITUTE($B49,",",REPT(" ",100)),601,100))</x:f>
      </x:c>
      <x:c r="O49" s="2" t="str">
        <x:f>TRIM(MID(SUBSTITUTE($B49,",",REPT(" ",100)),701,100))</x:f>
      </x:c>
      <x:c r="P49" s="14" t="n">
        <x:f>IF(H49="",0,IF(COUNTIFS('Tasks'!$A$2:$A$224,H49)=1,INDEX('Tasks'!$M$2:$M$224,MATCH(H49,'Tasks'!$A$2:$A$224,0)),"BAD ID"))</x:f>
        <x:v>46314</x:v>
      </x:c>
      <x:c r="Q49" s="14" t="n">
        <x:f>IF(I49="",0,IF(COUNTIFS('Tasks'!$A$2:$A$224,I49)=1,INDEX('Tasks'!$M$2:$M$224,MATCH(I49,'Tasks'!$A$2:$A$224,0)),"BAD ID"))</x:f>
        <x:v>46313</x:v>
      </x:c>
      <x:c r="R49" s="14" t="n">
        <x:f>IF(J49="",0,IF(COUNTIFS('Tasks'!$A$2:$A$224,J49)=1,INDEX('Tasks'!$M$2:$M$224,MATCH(J49,'Tasks'!$A$2:$A$224,0)),"BAD ID"))</x:f>
        <x:v>46312</x:v>
      </x:c>
      <x:c r="S49" s="14" t="n">
        <x:f>IF(K49="",0,IF(COUNTIFS('Tasks'!$A$2:$A$224,K49)=1,INDEX('Tasks'!$M$2:$M$224,MATCH(K49,'Tasks'!$A$2:$A$224,0)),"BAD ID"))</x:f>
        <x:v>0</x:v>
      </x:c>
      <x:c r="T49" s="14" t="n">
        <x:f>IF(L49="",0,IF(COUNTIFS('Tasks'!$A$2:$A$224,L49)=1,INDEX('Tasks'!$M$2:$M$224,MATCH(L49,'Tasks'!$A$2:$A$224,0)),"BAD ID"))</x:f>
        <x:v>0</x:v>
      </x:c>
      <x:c r="U49" s="14" t="n">
        <x:f>IF(M49="",0,IF(COUNTIFS('Tasks'!$A$2:$A$224,M49)=1,INDEX('Tasks'!$M$2:$M$224,MATCH(M49,'Tasks'!$A$2:$A$224,0)),"BAD ID"))</x:f>
        <x:v>0</x:v>
      </x:c>
      <x:c r="V49" s="14" t="n">
        <x:f>IF(N49="",0,IF(COUNTIFS('Tasks'!$A$2:$A$224,N49)=1,INDEX('Tasks'!$M$2:$M$224,MATCH(N49,'Tasks'!$A$2:$A$224,0)),"BAD ID"))</x:f>
        <x:v>0</x:v>
      </x:c>
      <x:c r="W49" s="14" t="n">
        <x:f>IF(O49="",0,IF(COUNTIFS('Tasks'!$A$2:$A$224,O49)=1,INDEX('Tasks'!$M$2:$M$224,MATCH(O49,'Tasks'!$A$2:$A$224,0)),"BAD ID"))</x:f>
        <x:v>0</x:v>
      </x:c>
    </x:row>
    <x:row r="50" ht="28" customHeight="1">
      <x:c r="A50" s="2" t="str">
        <x:v>BL-E-04</x:v>
      </x:c>
      <x:c r="B50" s="2" t="str">
        <x:f>IF(VLOOKUP(A50,'Tasks'!$A$2:$X$224,15,FALSE)="","",VLOOKUP(A50,'Tasks'!$A$2:$X$224,15,FALSE))</x:f>
        <x:v>BL-B-06,BL-D-08,G1-01</x:v>
      </x:c>
      <x:c r="C50" s="13" t="n">
        <x:f>VLOOKUP(A50,'Tasks'!$A$2:$X$224,12,FALSE)</x:f>
        <x:v>46315</x:v>
      </x:c>
      <x:c r="D50" s="2" t="n">
        <x:f>IF(B50="",0,LEN(B50)-LEN(SUBSTITUTE(B50,",",""))+1)</x:f>
        <x:v>3</x:v>
      </x:c>
      <x:c r="E50" s="14" t="n">
        <x:f>MAX(P50:W50)</x:f>
        <x:v>46314</x:v>
      </x:c>
      <x:c r="F50" s="2" t="n">
        <x:f>COUNTIFS(P50:W50,"BAD ID")</x:f>
        <x:v>0</x:v>
      </x:c>
      <x:c r="G50" s="2" t="str">
        <x:f>IF(D50&gt;8,"TOO MANY",IF(F50&gt;0,"BAD ID",IF(C50&gt;=E50,"OK","LATE")))</x:f>
        <x:v>OK</x:v>
      </x:c>
      <x:c r="H50" s="2" t="str">
        <x:f>TRIM(MID(SUBSTITUTE($B50,",",REPT(" ",100)),1,100))</x:f>
        <x:v>BL-B-06</x:v>
      </x:c>
      <x:c r="I50" s="2" t="str">
        <x:f>TRIM(MID(SUBSTITUTE($B50,",",REPT(" ",100)),101,100))</x:f>
        <x:v>BL-D-08</x:v>
      </x:c>
      <x:c r="J50" s="2" t="str">
        <x:f>TRIM(MID(SUBSTITUTE($B50,",",REPT(" ",100)),201,100))</x:f>
        <x:v>G1-01</x:v>
      </x:c>
      <x:c r="K50" s="2" t="str">
        <x:f>TRIM(MID(SUBSTITUTE($B50,",",REPT(" ",100)),301,100))</x:f>
      </x:c>
      <x:c r="L50" s="2" t="str">
        <x:f>TRIM(MID(SUBSTITUTE($B50,",",REPT(" ",100)),401,100))</x:f>
      </x:c>
      <x:c r="M50" s="2" t="str">
        <x:f>TRIM(MID(SUBSTITUTE($B50,",",REPT(" ",100)),501,100))</x:f>
      </x:c>
      <x:c r="N50" s="2" t="str">
        <x:f>TRIM(MID(SUBSTITUTE($B50,",",REPT(" ",100)),601,100))</x:f>
      </x:c>
      <x:c r="O50" s="2" t="str">
        <x:f>TRIM(MID(SUBSTITUTE($B50,",",REPT(" ",100)),701,100))</x:f>
      </x:c>
      <x:c r="P50" s="14" t="n">
        <x:f>IF(H50="",0,IF(COUNTIFS('Tasks'!$A$2:$A$224,H50)=1,INDEX('Tasks'!$M$2:$M$224,MATCH(H50,'Tasks'!$A$2:$A$224,0)),"BAD ID"))</x:f>
        <x:v>46314</x:v>
      </x:c>
      <x:c r="Q50" s="14" t="n">
        <x:f>IF(I50="",0,IF(COUNTIFS('Tasks'!$A$2:$A$224,I50)=1,INDEX('Tasks'!$M$2:$M$224,MATCH(I50,'Tasks'!$A$2:$A$224,0)),"BAD ID"))</x:f>
        <x:v>46314</x:v>
      </x:c>
      <x:c r="R50" s="14" t="n">
        <x:f>IF(J50="",0,IF(COUNTIFS('Tasks'!$A$2:$A$224,J50)=1,INDEX('Tasks'!$M$2:$M$224,MATCH(J50,'Tasks'!$A$2:$A$224,0)),"BAD ID"))</x:f>
        <x:v>46313</x:v>
      </x:c>
      <x:c r="S50" s="14" t="n">
        <x:f>IF(K50="",0,IF(COUNTIFS('Tasks'!$A$2:$A$224,K50)=1,INDEX('Tasks'!$M$2:$M$224,MATCH(K50,'Tasks'!$A$2:$A$224,0)),"BAD ID"))</x:f>
        <x:v>0</x:v>
      </x:c>
      <x:c r="T50" s="14" t="n">
        <x:f>IF(L50="",0,IF(COUNTIFS('Tasks'!$A$2:$A$224,L50)=1,INDEX('Tasks'!$M$2:$M$224,MATCH(L50,'Tasks'!$A$2:$A$224,0)),"BAD ID"))</x:f>
        <x:v>0</x:v>
      </x:c>
      <x:c r="U50" s="14" t="n">
        <x:f>IF(M50="",0,IF(COUNTIFS('Tasks'!$A$2:$A$224,M50)=1,INDEX('Tasks'!$M$2:$M$224,MATCH(M50,'Tasks'!$A$2:$A$224,0)),"BAD ID"))</x:f>
        <x:v>0</x:v>
      </x:c>
      <x:c r="V50" s="14" t="n">
        <x:f>IF(N50="",0,IF(COUNTIFS('Tasks'!$A$2:$A$224,N50)=1,INDEX('Tasks'!$M$2:$M$224,MATCH(N50,'Tasks'!$A$2:$A$224,0)),"BAD ID"))</x:f>
        <x:v>0</x:v>
      </x:c>
      <x:c r="W50" s="14" t="n">
        <x:f>IF(O50="",0,IF(COUNTIFS('Tasks'!$A$2:$A$224,O50)=1,INDEX('Tasks'!$M$2:$M$224,MATCH(O50,'Tasks'!$A$2:$A$224,0)),"BAD ID"))</x:f>
        <x:v>0</x:v>
      </x:c>
    </x:row>
    <x:row r="51" ht="28" customHeight="1">
      <x:c r="A51" s="2" t="str">
        <x:v>G2-01</x:v>
      </x:c>
      <x:c r="B51" s="2" t="str">
        <x:f>IF(VLOOKUP(A51,'Tasks'!$A$2:$X$224,15,FALSE)="","",VLOOKUP(A51,'Tasks'!$A$2:$X$224,15,FALSE))</x:f>
        <x:v>BL-E-04,BL-F-06</x:v>
      </x:c>
      <x:c r="C51" s="13" t="n">
        <x:f>VLOOKUP(A51,'Tasks'!$A$2:$X$224,12,FALSE)</x:f>
        <x:v>46316</x:v>
      </x:c>
      <x:c r="D51" s="2" t="n">
        <x:f>IF(B51="",0,LEN(B51)-LEN(SUBSTITUTE(B51,",",""))+1)</x:f>
        <x:v>2</x:v>
      </x:c>
      <x:c r="E51" s="14" t="n">
        <x:f>MAX(P51:W51)</x:f>
        <x:v>46315</x:v>
      </x:c>
      <x:c r="F51" s="2" t="n">
        <x:f>COUNTIFS(P51:W51,"BAD ID")</x:f>
        <x:v>0</x:v>
      </x:c>
      <x:c r="G51" s="2" t="str">
        <x:f>IF(D51&gt;8,"TOO MANY",IF(F51&gt;0,"BAD ID",IF(C51&gt;=E51,"OK","LATE")))</x:f>
        <x:v>OK</x:v>
      </x:c>
      <x:c r="H51" s="2" t="str">
        <x:f>TRIM(MID(SUBSTITUTE($B51,",",REPT(" ",100)),1,100))</x:f>
        <x:v>BL-E-04</x:v>
      </x:c>
      <x:c r="I51" s="2" t="str">
        <x:f>TRIM(MID(SUBSTITUTE($B51,",",REPT(" ",100)),101,100))</x:f>
        <x:v>BL-F-06</x:v>
      </x:c>
      <x:c r="J51" s="2" t="str">
        <x:f>TRIM(MID(SUBSTITUTE($B51,",",REPT(" ",100)),201,100))</x:f>
      </x:c>
      <x:c r="K51" s="2" t="str">
        <x:f>TRIM(MID(SUBSTITUTE($B51,",",REPT(" ",100)),301,100))</x:f>
      </x:c>
      <x:c r="L51" s="2" t="str">
        <x:f>TRIM(MID(SUBSTITUTE($B51,",",REPT(" ",100)),401,100))</x:f>
      </x:c>
      <x:c r="M51" s="2" t="str">
        <x:f>TRIM(MID(SUBSTITUTE($B51,",",REPT(" ",100)),501,100))</x:f>
      </x:c>
      <x:c r="N51" s="2" t="str">
        <x:f>TRIM(MID(SUBSTITUTE($B51,",",REPT(" ",100)),601,100))</x:f>
      </x:c>
      <x:c r="O51" s="2" t="str">
        <x:f>TRIM(MID(SUBSTITUTE($B51,",",REPT(" ",100)),701,100))</x:f>
      </x:c>
      <x:c r="P51" s="14" t="n">
        <x:f>IF(H51="",0,IF(COUNTIFS('Tasks'!$A$2:$A$224,H51)=1,INDEX('Tasks'!$M$2:$M$224,MATCH(H51,'Tasks'!$A$2:$A$224,0)),"BAD ID"))</x:f>
        <x:v>46315</x:v>
      </x:c>
      <x:c r="Q51" s="14" t="n">
        <x:f>IF(I51="",0,IF(COUNTIFS('Tasks'!$A$2:$A$224,I51)=1,INDEX('Tasks'!$M$2:$M$224,MATCH(I51,'Tasks'!$A$2:$A$224,0)),"BAD ID"))</x:f>
        <x:v>46315</x:v>
      </x:c>
      <x:c r="R51" s="14" t="n">
        <x:f>IF(J51="",0,IF(COUNTIFS('Tasks'!$A$2:$A$224,J51)=1,INDEX('Tasks'!$M$2:$M$224,MATCH(J51,'Tasks'!$A$2:$A$224,0)),"BAD ID"))</x:f>
        <x:v>0</x:v>
      </x:c>
      <x:c r="S51" s="14" t="n">
        <x:f>IF(K51="",0,IF(COUNTIFS('Tasks'!$A$2:$A$224,K51)=1,INDEX('Tasks'!$M$2:$M$224,MATCH(K51,'Tasks'!$A$2:$A$224,0)),"BAD ID"))</x:f>
        <x:v>0</x:v>
      </x:c>
      <x:c r="T51" s="14" t="n">
        <x:f>IF(L51="",0,IF(COUNTIFS('Tasks'!$A$2:$A$224,L51)=1,INDEX('Tasks'!$M$2:$M$224,MATCH(L51,'Tasks'!$A$2:$A$224,0)),"BAD ID"))</x:f>
        <x:v>0</x:v>
      </x:c>
      <x:c r="U51" s="14" t="n">
        <x:f>IF(M51="",0,IF(COUNTIFS('Tasks'!$A$2:$A$224,M51)=1,INDEX('Tasks'!$M$2:$M$224,MATCH(M51,'Tasks'!$A$2:$A$224,0)),"BAD ID"))</x:f>
        <x:v>0</x:v>
      </x:c>
      <x:c r="V51" s="14" t="n">
        <x:f>IF(N51="",0,IF(COUNTIFS('Tasks'!$A$2:$A$224,N51)=1,INDEX('Tasks'!$M$2:$M$224,MATCH(N51,'Tasks'!$A$2:$A$224,0)),"BAD ID"))</x:f>
        <x:v>0</x:v>
      </x:c>
      <x:c r="W51" s="14" t="n">
        <x:f>IF(O51="",0,IF(COUNTIFS('Tasks'!$A$2:$A$224,O51)=1,INDEX('Tasks'!$M$2:$M$224,MATCH(O51,'Tasks'!$A$2:$A$224,0)),"BAD ID"))</x:f>
        <x:v>0</x:v>
      </x:c>
    </x:row>
    <x:row r="52" ht="28" customHeight="1">
      <x:c r="A52" s="2" t="str">
        <x:v>BL-A-06</x:v>
      </x:c>
      <x:c r="B52" s="2" t="str">
        <x:f>IF(VLOOKUP(A52,'Tasks'!$A$2:$X$224,15,FALSE)="","",VLOOKUP(A52,'Tasks'!$A$2:$X$224,15,FALSE))</x:f>
        <x:v>BL-D-08,G1-01</x:v>
      </x:c>
      <x:c r="C52" s="13" t="n">
        <x:f>VLOOKUP(A52,'Tasks'!$A$2:$X$224,12,FALSE)</x:f>
        <x:v>46315</x:v>
      </x:c>
      <x:c r="D52" s="2" t="n">
        <x:f>IF(B52="",0,LEN(B52)-LEN(SUBSTITUTE(B52,",",""))+1)</x:f>
        <x:v>2</x:v>
      </x:c>
      <x:c r="E52" s="14" t="n">
        <x:f>MAX(P52:W52)</x:f>
        <x:v>46314</x:v>
      </x:c>
      <x:c r="F52" s="2" t="n">
        <x:f>COUNTIFS(P52:W52,"BAD ID")</x:f>
        <x:v>0</x:v>
      </x:c>
      <x:c r="G52" s="2" t="str">
        <x:f>IF(D52&gt;8,"TOO MANY",IF(F52&gt;0,"BAD ID",IF(C52&gt;=E52,"OK","LATE")))</x:f>
        <x:v>OK</x:v>
      </x:c>
      <x:c r="H52" s="2" t="str">
        <x:f>TRIM(MID(SUBSTITUTE($B52,",",REPT(" ",100)),1,100))</x:f>
        <x:v>BL-D-08</x:v>
      </x:c>
      <x:c r="I52" s="2" t="str">
        <x:f>TRIM(MID(SUBSTITUTE($B52,",",REPT(" ",100)),101,100))</x:f>
        <x:v>G1-01</x:v>
      </x:c>
      <x:c r="J52" s="2" t="str">
        <x:f>TRIM(MID(SUBSTITUTE($B52,",",REPT(" ",100)),201,100))</x:f>
      </x:c>
      <x:c r="K52" s="2" t="str">
        <x:f>TRIM(MID(SUBSTITUTE($B52,",",REPT(" ",100)),301,100))</x:f>
      </x:c>
      <x:c r="L52" s="2" t="str">
        <x:f>TRIM(MID(SUBSTITUTE($B52,",",REPT(" ",100)),401,100))</x:f>
      </x:c>
      <x:c r="M52" s="2" t="str">
        <x:f>TRIM(MID(SUBSTITUTE($B52,",",REPT(" ",100)),501,100))</x:f>
      </x:c>
      <x:c r="N52" s="2" t="str">
        <x:f>TRIM(MID(SUBSTITUTE($B52,",",REPT(" ",100)),601,100))</x:f>
      </x:c>
      <x:c r="O52" s="2" t="str">
        <x:f>TRIM(MID(SUBSTITUTE($B52,",",REPT(" ",100)),701,100))</x:f>
      </x:c>
      <x:c r="P52" s="14" t="n">
        <x:f>IF(H52="",0,IF(COUNTIFS('Tasks'!$A$2:$A$224,H52)=1,INDEX('Tasks'!$M$2:$M$224,MATCH(H52,'Tasks'!$A$2:$A$224,0)),"BAD ID"))</x:f>
        <x:v>46314</x:v>
      </x:c>
      <x:c r="Q52" s="14" t="n">
        <x:f>IF(I52="",0,IF(COUNTIFS('Tasks'!$A$2:$A$224,I52)=1,INDEX('Tasks'!$M$2:$M$224,MATCH(I52,'Tasks'!$A$2:$A$224,0)),"BAD ID"))</x:f>
        <x:v>46313</x:v>
      </x:c>
      <x:c r="R52" s="14" t="n">
        <x:f>IF(J52="",0,IF(COUNTIFS('Tasks'!$A$2:$A$224,J52)=1,INDEX('Tasks'!$M$2:$M$224,MATCH(J52,'Tasks'!$A$2:$A$224,0)),"BAD ID"))</x:f>
        <x:v>0</x:v>
      </x:c>
      <x:c r="S52" s="14" t="n">
        <x:f>IF(K52="",0,IF(COUNTIFS('Tasks'!$A$2:$A$224,K52)=1,INDEX('Tasks'!$M$2:$M$224,MATCH(K52,'Tasks'!$A$2:$A$224,0)),"BAD ID"))</x:f>
        <x:v>0</x:v>
      </x:c>
      <x:c r="T52" s="14" t="n">
        <x:f>IF(L52="",0,IF(COUNTIFS('Tasks'!$A$2:$A$224,L52)=1,INDEX('Tasks'!$M$2:$M$224,MATCH(L52,'Tasks'!$A$2:$A$224,0)),"BAD ID"))</x:f>
        <x:v>0</x:v>
      </x:c>
      <x:c r="U52" s="14" t="n">
        <x:f>IF(M52="",0,IF(COUNTIFS('Tasks'!$A$2:$A$224,M52)=1,INDEX('Tasks'!$M$2:$M$224,MATCH(M52,'Tasks'!$A$2:$A$224,0)),"BAD ID"))</x:f>
        <x:v>0</x:v>
      </x:c>
      <x:c r="V52" s="14" t="n">
        <x:f>IF(N52="",0,IF(COUNTIFS('Tasks'!$A$2:$A$224,N52)=1,INDEX('Tasks'!$M$2:$M$224,MATCH(N52,'Tasks'!$A$2:$A$224,0)),"BAD ID"))</x:f>
        <x:v>0</x:v>
      </x:c>
      <x:c r="W52" s="14" t="n">
        <x:f>IF(O52="",0,IF(COUNTIFS('Tasks'!$A$2:$A$224,O52)=1,INDEX('Tasks'!$M$2:$M$224,MATCH(O52,'Tasks'!$A$2:$A$224,0)),"BAD ID"))</x:f>
        <x:v>0</x:v>
      </x:c>
    </x:row>
    <x:row r="53" ht="28" customHeight="1">
      <x:c r="A53" s="2" t="str">
        <x:v>BL-D-09</x:v>
      </x:c>
      <x:c r="B53" s="2" t="str">
        <x:f>IF(VLOOKUP(A53,'Tasks'!$A$2:$X$224,15,FALSE)="","",VLOOKUP(A53,'Tasks'!$A$2:$X$224,15,FALSE))</x:f>
        <x:v>G2-01,BL-B-06</x:v>
      </x:c>
      <x:c r="C53" s="13" t="n">
        <x:f>VLOOKUP(A53,'Tasks'!$A$2:$X$224,12,FALSE)</x:f>
        <x:v>46317</x:v>
      </x:c>
      <x:c r="D53" s="2" t="n">
        <x:f>IF(B53="",0,LEN(B53)-LEN(SUBSTITUTE(B53,",",""))+1)</x:f>
        <x:v>2</x:v>
      </x:c>
      <x:c r="E53" s="14" t="n">
        <x:f>MAX(P53:W53)</x:f>
        <x:v>46316</x:v>
      </x:c>
      <x:c r="F53" s="2" t="n">
        <x:f>COUNTIFS(P53:W53,"BAD ID")</x:f>
        <x:v>0</x:v>
      </x:c>
      <x:c r="G53" s="2" t="str">
        <x:f>IF(D53&gt;8,"TOO MANY",IF(F53&gt;0,"BAD ID",IF(C53&gt;=E53,"OK","LATE")))</x:f>
        <x:v>OK</x:v>
      </x:c>
      <x:c r="H53" s="2" t="str">
        <x:f>TRIM(MID(SUBSTITUTE($B53,",",REPT(" ",100)),1,100))</x:f>
        <x:v>G2-01</x:v>
      </x:c>
      <x:c r="I53" s="2" t="str">
        <x:f>TRIM(MID(SUBSTITUTE($B53,",",REPT(" ",100)),101,100))</x:f>
        <x:v>BL-B-06</x:v>
      </x:c>
      <x:c r="J53" s="2" t="str">
        <x:f>TRIM(MID(SUBSTITUTE($B53,",",REPT(" ",100)),201,100))</x:f>
      </x:c>
      <x:c r="K53" s="2" t="str">
        <x:f>TRIM(MID(SUBSTITUTE($B53,",",REPT(" ",100)),301,100))</x:f>
      </x:c>
      <x:c r="L53" s="2" t="str">
        <x:f>TRIM(MID(SUBSTITUTE($B53,",",REPT(" ",100)),401,100))</x:f>
      </x:c>
      <x:c r="M53" s="2" t="str">
        <x:f>TRIM(MID(SUBSTITUTE($B53,",",REPT(" ",100)),501,100))</x:f>
      </x:c>
      <x:c r="N53" s="2" t="str">
        <x:f>TRIM(MID(SUBSTITUTE($B53,",",REPT(" ",100)),601,100))</x:f>
      </x:c>
      <x:c r="O53" s="2" t="str">
        <x:f>TRIM(MID(SUBSTITUTE($B53,",",REPT(" ",100)),701,100))</x:f>
      </x:c>
      <x:c r="P53" s="14" t="n">
        <x:f>IF(H53="",0,IF(COUNTIFS('Tasks'!$A$2:$A$224,H53)=1,INDEX('Tasks'!$M$2:$M$224,MATCH(H53,'Tasks'!$A$2:$A$224,0)),"BAD ID"))</x:f>
        <x:v>46316</x:v>
      </x:c>
      <x:c r="Q53" s="14" t="n">
        <x:f>IF(I53="",0,IF(COUNTIFS('Tasks'!$A$2:$A$224,I53)=1,INDEX('Tasks'!$M$2:$M$224,MATCH(I53,'Tasks'!$A$2:$A$224,0)),"BAD ID"))</x:f>
        <x:v>46314</x:v>
      </x:c>
      <x:c r="R53" s="14" t="n">
        <x:f>IF(J53="",0,IF(COUNTIFS('Tasks'!$A$2:$A$224,J53)=1,INDEX('Tasks'!$M$2:$M$224,MATCH(J53,'Tasks'!$A$2:$A$224,0)),"BAD ID"))</x:f>
        <x:v>0</x:v>
      </x:c>
      <x:c r="S53" s="14" t="n">
        <x:f>IF(K53="",0,IF(COUNTIFS('Tasks'!$A$2:$A$224,K53)=1,INDEX('Tasks'!$M$2:$M$224,MATCH(K53,'Tasks'!$A$2:$A$224,0)),"BAD ID"))</x:f>
        <x:v>0</x:v>
      </x:c>
      <x:c r="T53" s="14" t="n">
        <x:f>IF(L53="",0,IF(COUNTIFS('Tasks'!$A$2:$A$224,L53)=1,INDEX('Tasks'!$M$2:$M$224,MATCH(L53,'Tasks'!$A$2:$A$224,0)),"BAD ID"))</x:f>
        <x:v>0</x:v>
      </x:c>
      <x:c r="U53" s="14" t="n">
        <x:f>IF(M53="",0,IF(COUNTIFS('Tasks'!$A$2:$A$224,M53)=1,INDEX('Tasks'!$M$2:$M$224,MATCH(M53,'Tasks'!$A$2:$A$224,0)),"BAD ID"))</x:f>
        <x:v>0</x:v>
      </x:c>
      <x:c r="V53" s="14" t="n">
        <x:f>IF(N53="",0,IF(COUNTIFS('Tasks'!$A$2:$A$224,N53)=1,INDEX('Tasks'!$M$2:$M$224,MATCH(N53,'Tasks'!$A$2:$A$224,0)),"BAD ID"))</x:f>
        <x:v>0</x:v>
      </x:c>
      <x:c r="W53" s="14" t="n">
        <x:f>IF(O53="",0,IF(COUNTIFS('Tasks'!$A$2:$A$224,O53)=1,INDEX('Tasks'!$M$2:$M$224,MATCH(O53,'Tasks'!$A$2:$A$224,0)),"BAD ID"))</x:f>
        <x:v>0</x:v>
      </x:c>
    </x:row>
    <x:row r="54" ht="28" customHeight="1">
      <x:c r="A54" s="2" t="str">
        <x:v>BL-C-07</x:v>
      </x:c>
      <x:c r="B54" s="2" t="str">
        <x:f>IF(VLOOKUP(A54,'Tasks'!$A$2:$X$224,15,FALSE)="","",VLOOKUP(A54,'Tasks'!$A$2:$X$224,15,FALSE))</x:f>
        <x:v>G2-01,BL-C-06</x:v>
      </x:c>
      <x:c r="C54" s="13" t="n">
        <x:f>VLOOKUP(A54,'Tasks'!$A$2:$X$224,12,FALSE)</x:f>
        <x:v>46317</x:v>
      </x:c>
      <x:c r="D54" s="2" t="n">
        <x:f>IF(B54="",0,LEN(B54)-LEN(SUBSTITUTE(B54,",",""))+1)</x:f>
        <x:v>2</x:v>
      </x:c>
      <x:c r="E54" s="14" t="n">
        <x:f>MAX(P54:W54)</x:f>
        <x:v>46316</x:v>
      </x:c>
      <x:c r="F54" s="2" t="n">
        <x:f>COUNTIFS(P54:W54,"BAD ID")</x:f>
        <x:v>0</x:v>
      </x:c>
      <x:c r="G54" s="2" t="str">
        <x:f>IF(D54&gt;8,"TOO MANY",IF(F54&gt;0,"BAD ID",IF(C54&gt;=E54,"OK","LATE")))</x:f>
        <x:v>OK</x:v>
      </x:c>
      <x:c r="H54" s="2" t="str">
        <x:f>TRIM(MID(SUBSTITUTE($B54,",",REPT(" ",100)),1,100))</x:f>
        <x:v>G2-01</x:v>
      </x:c>
      <x:c r="I54" s="2" t="str">
        <x:f>TRIM(MID(SUBSTITUTE($B54,",",REPT(" ",100)),101,100))</x:f>
        <x:v>BL-C-06</x:v>
      </x:c>
      <x:c r="J54" s="2" t="str">
        <x:f>TRIM(MID(SUBSTITUTE($B54,",",REPT(" ",100)),201,100))</x:f>
      </x:c>
      <x:c r="K54" s="2" t="str">
        <x:f>TRIM(MID(SUBSTITUTE($B54,",",REPT(" ",100)),301,100))</x:f>
      </x:c>
      <x:c r="L54" s="2" t="str">
        <x:f>TRIM(MID(SUBSTITUTE($B54,",",REPT(" ",100)),401,100))</x:f>
      </x:c>
      <x:c r="M54" s="2" t="str">
        <x:f>TRIM(MID(SUBSTITUTE($B54,",",REPT(" ",100)),501,100))</x:f>
      </x:c>
      <x:c r="N54" s="2" t="str">
        <x:f>TRIM(MID(SUBSTITUTE($B54,",",REPT(" ",100)),601,100))</x:f>
      </x:c>
      <x:c r="O54" s="2" t="str">
        <x:f>TRIM(MID(SUBSTITUTE($B54,",",REPT(" ",100)),701,100))</x:f>
      </x:c>
      <x:c r="P54" s="14" t="n">
        <x:f>IF(H54="",0,IF(COUNTIFS('Tasks'!$A$2:$A$224,H54)=1,INDEX('Tasks'!$M$2:$M$224,MATCH(H54,'Tasks'!$A$2:$A$224,0)),"BAD ID"))</x:f>
        <x:v>46316</x:v>
      </x:c>
      <x:c r="Q54" s="14" t="n">
        <x:f>IF(I54="",0,IF(COUNTIFS('Tasks'!$A$2:$A$224,I54)=1,INDEX('Tasks'!$M$2:$M$224,MATCH(I54,'Tasks'!$A$2:$A$224,0)),"BAD ID"))</x:f>
        <x:v>46313</x:v>
      </x:c>
      <x:c r="R54" s="14" t="n">
        <x:f>IF(J54="",0,IF(COUNTIFS('Tasks'!$A$2:$A$224,J54)=1,INDEX('Tasks'!$M$2:$M$224,MATCH(J54,'Tasks'!$A$2:$A$224,0)),"BAD ID"))</x:f>
        <x:v>0</x:v>
      </x:c>
      <x:c r="S54" s="14" t="n">
        <x:f>IF(K54="",0,IF(COUNTIFS('Tasks'!$A$2:$A$224,K54)=1,INDEX('Tasks'!$M$2:$M$224,MATCH(K54,'Tasks'!$A$2:$A$224,0)),"BAD ID"))</x:f>
        <x:v>0</x:v>
      </x:c>
      <x:c r="T54" s="14" t="n">
        <x:f>IF(L54="",0,IF(COUNTIFS('Tasks'!$A$2:$A$224,L54)=1,INDEX('Tasks'!$M$2:$M$224,MATCH(L54,'Tasks'!$A$2:$A$224,0)),"BAD ID"))</x:f>
        <x:v>0</x:v>
      </x:c>
      <x:c r="U54" s="14" t="n">
        <x:f>IF(M54="",0,IF(COUNTIFS('Tasks'!$A$2:$A$224,M54)=1,INDEX('Tasks'!$M$2:$M$224,MATCH(M54,'Tasks'!$A$2:$A$224,0)),"BAD ID"))</x:f>
        <x:v>0</x:v>
      </x:c>
      <x:c r="V54" s="14" t="n">
        <x:f>IF(N54="",0,IF(COUNTIFS('Tasks'!$A$2:$A$224,N54)=1,INDEX('Tasks'!$M$2:$M$224,MATCH(N54,'Tasks'!$A$2:$A$224,0)),"BAD ID"))</x:f>
        <x:v>0</x:v>
      </x:c>
      <x:c r="W54" s="14" t="n">
        <x:f>IF(O54="",0,IF(COUNTIFS('Tasks'!$A$2:$A$224,O54)=1,INDEX('Tasks'!$M$2:$M$224,MATCH(O54,'Tasks'!$A$2:$A$224,0)),"BAD ID"))</x:f>
        <x:v>0</x:v>
      </x:c>
    </x:row>
    <x:row r="55" ht="28" customHeight="1">
      <x:c r="A55" s="2" t="str">
        <x:v>BL-F-07</x:v>
      </x:c>
      <x:c r="B55" s="2" t="str">
        <x:f>IF(VLOOKUP(A55,'Tasks'!$A$2:$X$224,15,FALSE)="","",VLOOKUP(A55,'Tasks'!$A$2:$X$224,15,FALSE))</x:f>
        <x:v>BL-F-06,G2-01</x:v>
      </x:c>
      <x:c r="C55" s="13" t="n">
        <x:f>VLOOKUP(A55,'Tasks'!$A$2:$X$224,12,FALSE)</x:f>
        <x:v>46317</x:v>
      </x:c>
      <x:c r="D55" s="2" t="n">
        <x:f>IF(B55="",0,LEN(B55)-LEN(SUBSTITUTE(B55,",",""))+1)</x:f>
        <x:v>2</x:v>
      </x:c>
      <x:c r="E55" s="14" t="n">
        <x:f>MAX(P55:W55)</x:f>
        <x:v>46316</x:v>
      </x:c>
      <x:c r="F55" s="2" t="n">
        <x:f>COUNTIFS(P55:W55,"BAD ID")</x:f>
        <x:v>0</x:v>
      </x:c>
      <x:c r="G55" s="2" t="str">
        <x:f>IF(D55&gt;8,"TOO MANY",IF(F55&gt;0,"BAD ID",IF(C55&gt;=E55,"OK","LATE")))</x:f>
        <x:v>OK</x:v>
      </x:c>
      <x:c r="H55" s="2" t="str">
        <x:f>TRIM(MID(SUBSTITUTE($B55,",",REPT(" ",100)),1,100))</x:f>
        <x:v>BL-F-06</x:v>
      </x:c>
      <x:c r="I55" s="2" t="str">
        <x:f>TRIM(MID(SUBSTITUTE($B55,",",REPT(" ",100)),101,100))</x:f>
        <x:v>G2-01</x:v>
      </x:c>
      <x:c r="J55" s="2" t="str">
        <x:f>TRIM(MID(SUBSTITUTE($B55,",",REPT(" ",100)),201,100))</x:f>
      </x:c>
      <x:c r="K55" s="2" t="str">
        <x:f>TRIM(MID(SUBSTITUTE($B55,",",REPT(" ",100)),301,100))</x:f>
      </x:c>
      <x:c r="L55" s="2" t="str">
        <x:f>TRIM(MID(SUBSTITUTE($B55,",",REPT(" ",100)),401,100))</x:f>
      </x:c>
      <x:c r="M55" s="2" t="str">
        <x:f>TRIM(MID(SUBSTITUTE($B55,",",REPT(" ",100)),501,100))</x:f>
      </x:c>
      <x:c r="N55" s="2" t="str">
        <x:f>TRIM(MID(SUBSTITUTE($B55,",",REPT(" ",100)),601,100))</x:f>
      </x:c>
      <x:c r="O55" s="2" t="str">
        <x:f>TRIM(MID(SUBSTITUTE($B55,",",REPT(" ",100)),701,100))</x:f>
      </x:c>
      <x:c r="P55" s="14" t="n">
        <x:f>IF(H55="",0,IF(COUNTIFS('Tasks'!$A$2:$A$224,H55)=1,INDEX('Tasks'!$M$2:$M$224,MATCH(H55,'Tasks'!$A$2:$A$224,0)),"BAD ID"))</x:f>
        <x:v>46315</x:v>
      </x:c>
      <x:c r="Q55" s="14" t="n">
        <x:f>IF(I55="",0,IF(COUNTIFS('Tasks'!$A$2:$A$224,I55)=1,INDEX('Tasks'!$M$2:$M$224,MATCH(I55,'Tasks'!$A$2:$A$224,0)),"BAD ID"))</x:f>
        <x:v>46316</x:v>
      </x:c>
      <x:c r="R55" s="14" t="n">
        <x:f>IF(J55="",0,IF(COUNTIFS('Tasks'!$A$2:$A$224,J55)=1,INDEX('Tasks'!$M$2:$M$224,MATCH(J55,'Tasks'!$A$2:$A$224,0)),"BAD ID"))</x:f>
        <x:v>0</x:v>
      </x:c>
      <x:c r="S55" s="14" t="n">
        <x:f>IF(K55="",0,IF(COUNTIFS('Tasks'!$A$2:$A$224,K55)=1,INDEX('Tasks'!$M$2:$M$224,MATCH(K55,'Tasks'!$A$2:$A$224,0)),"BAD ID"))</x:f>
        <x:v>0</x:v>
      </x:c>
      <x:c r="T55" s="14" t="n">
        <x:f>IF(L55="",0,IF(COUNTIFS('Tasks'!$A$2:$A$224,L55)=1,INDEX('Tasks'!$M$2:$M$224,MATCH(L55,'Tasks'!$A$2:$A$224,0)),"BAD ID"))</x:f>
        <x:v>0</x:v>
      </x:c>
      <x:c r="U55" s="14" t="n">
        <x:f>IF(M55="",0,IF(COUNTIFS('Tasks'!$A$2:$A$224,M55)=1,INDEX('Tasks'!$M$2:$M$224,MATCH(M55,'Tasks'!$A$2:$A$224,0)),"BAD ID"))</x:f>
        <x:v>0</x:v>
      </x:c>
      <x:c r="V55" s="14" t="n">
        <x:f>IF(N55="",0,IF(COUNTIFS('Tasks'!$A$2:$A$224,N55)=1,INDEX('Tasks'!$M$2:$M$224,MATCH(N55,'Tasks'!$A$2:$A$224,0)),"BAD ID"))</x:f>
        <x:v>0</x:v>
      </x:c>
      <x:c r="W55" s="14" t="n">
        <x:f>IF(O55="",0,IF(COUNTIFS('Tasks'!$A$2:$A$224,O55)=1,INDEX('Tasks'!$M$2:$M$224,MATCH(O55,'Tasks'!$A$2:$A$224,0)),"BAD ID"))</x:f>
        <x:v>0</x:v>
      </x:c>
    </x:row>
    <x:row r="56" ht="28" customHeight="1">
      <x:c r="A56" s="2" t="str">
        <x:v>BL-B-07</x:v>
      </x:c>
      <x:c r="B56" s="2" t="str">
        <x:f>IF(VLOOKUP(A56,'Tasks'!$A$2:$X$224,15,FALSE)="","",VLOOKUP(A56,'Tasks'!$A$2:$X$224,15,FALSE))</x:f>
        <x:v>G2-01,BL-B-06</x:v>
      </x:c>
      <x:c r="C56" s="13" t="n">
        <x:f>VLOOKUP(A56,'Tasks'!$A$2:$X$224,12,FALSE)</x:f>
        <x:v>46317</x:v>
      </x:c>
      <x:c r="D56" s="2" t="n">
        <x:f>IF(B56="",0,LEN(B56)-LEN(SUBSTITUTE(B56,",",""))+1)</x:f>
        <x:v>2</x:v>
      </x:c>
      <x:c r="E56" s="14" t="n">
        <x:f>MAX(P56:W56)</x:f>
        <x:v>46316</x:v>
      </x:c>
      <x:c r="F56" s="2" t="n">
        <x:f>COUNTIFS(P56:W56,"BAD ID")</x:f>
        <x:v>0</x:v>
      </x:c>
      <x:c r="G56" s="2" t="str">
        <x:f>IF(D56&gt;8,"TOO MANY",IF(F56&gt;0,"BAD ID",IF(C56&gt;=E56,"OK","LATE")))</x:f>
        <x:v>OK</x:v>
      </x:c>
      <x:c r="H56" s="2" t="str">
        <x:f>TRIM(MID(SUBSTITUTE($B56,",",REPT(" ",100)),1,100))</x:f>
        <x:v>G2-01</x:v>
      </x:c>
      <x:c r="I56" s="2" t="str">
        <x:f>TRIM(MID(SUBSTITUTE($B56,",",REPT(" ",100)),101,100))</x:f>
        <x:v>BL-B-06</x:v>
      </x:c>
      <x:c r="J56" s="2" t="str">
        <x:f>TRIM(MID(SUBSTITUTE($B56,",",REPT(" ",100)),201,100))</x:f>
      </x:c>
      <x:c r="K56" s="2" t="str">
        <x:f>TRIM(MID(SUBSTITUTE($B56,",",REPT(" ",100)),301,100))</x:f>
      </x:c>
      <x:c r="L56" s="2" t="str">
        <x:f>TRIM(MID(SUBSTITUTE($B56,",",REPT(" ",100)),401,100))</x:f>
      </x:c>
      <x:c r="M56" s="2" t="str">
        <x:f>TRIM(MID(SUBSTITUTE($B56,",",REPT(" ",100)),501,100))</x:f>
      </x:c>
      <x:c r="N56" s="2" t="str">
        <x:f>TRIM(MID(SUBSTITUTE($B56,",",REPT(" ",100)),601,100))</x:f>
      </x:c>
      <x:c r="O56" s="2" t="str">
        <x:f>TRIM(MID(SUBSTITUTE($B56,",",REPT(" ",100)),701,100))</x:f>
      </x:c>
      <x:c r="P56" s="14" t="n">
        <x:f>IF(H56="",0,IF(COUNTIFS('Tasks'!$A$2:$A$224,H56)=1,INDEX('Tasks'!$M$2:$M$224,MATCH(H56,'Tasks'!$A$2:$A$224,0)),"BAD ID"))</x:f>
        <x:v>46316</x:v>
      </x:c>
      <x:c r="Q56" s="14" t="n">
        <x:f>IF(I56="",0,IF(COUNTIFS('Tasks'!$A$2:$A$224,I56)=1,INDEX('Tasks'!$M$2:$M$224,MATCH(I56,'Tasks'!$A$2:$A$224,0)),"BAD ID"))</x:f>
        <x:v>46314</x:v>
      </x:c>
      <x:c r="R56" s="14" t="n">
        <x:f>IF(J56="",0,IF(COUNTIFS('Tasks'!$A$2:$A$224,J56)=1,INDEX('Tasks'!$M$2:$M$224,MATCH(J56,'Tasks'!$A$2:$A$224,0)),"BAD ID"))</x:f>
        <x:v>0</x:v>
      </x:c>
      <x:c r="S56" s="14" t="n">
        <x:f>IF(K56="",0,IF(COUNTIFS('Tasks'!$A$2:$A$224,K56)=1,INDEX('Tasks'!$M$2:$M$224,MATCH(K56,'Tasks'!$A$2:$A$224,0)),"BAD ID"))</x:f>
        <x:v>0</x:v>
      </x:c>
      <x:c r="T56" s="14" t="n">
        <x:f>IF(L56="",0,IF(COUNTIFS('Tasks'!$A$2:$A$224,L56)=1,INDEX('Tasks'!$M$2:$M$224,MATCH(L56,'Tasks'!$A$2:$A$224,0)),"BAD ID"))</x:f>
        <x:v>0</x:v>
      </x:c>
      <x:c r="U56" s="14" t="n">
        <x:f>IF(M56="",0,IF(COUNTIFS('Tasks'!$A$2:$A$224,M56)=1,INDEX('Tasks'!$M$2:$M$224,MATCH(M56,'Tasks'!$A$2:$A$224,0)),"BAD ID"))</x:f>
        <x:v>0</x:v>
      </x:c>
      <x:c r="V56" s="14" t="n">
        <x:f>IF(N56="",0,IF(COUNTIFS('Tasks'!$A$2:$A$224,N56)=1,INDEX('Tasks'!$M$2:$M$224,MATCH(N56,'Tasks'!$A$2:$A$224,0)),"BAD ID"))</x:f>
        <x:v>0</x:v>
      </x:c>
      <x:c r="W56" s="14" t="n">
        <x:f>IF(O56="",0,IF(COUNTIFS('Tasks'!$A$2:$A$224,O56)=1,INDEX('Tasks'!$M$2:$M$224,MATCH(O56,'Tasks'!$A$2:$A$224,0)),"BAD ID"))</x:f>
        <x:v>0</x:v>
      </x:c>
    </x:row>
    <x:row r="57" ht="28" customHeight="1">
      <x:c r="A57" s="2" t="str">
        <x:v>TEST-04</x:v>
      </x:c>
      <x:c r="B57" s="2" t="str">
        <x:f>IF(VLOOKUP(A57,'Tasks'!$A$2:$X$224,15,FALSE)="","",VLOOKUP(A57,'Tasks'!$A$2:$X$224,15,FALSE))</x:f>
        <x:v>BL-D-09,BL-C-07,BL-F-07,BL-B-07</x:v>
      </x:c>
      <x:c r="C57" s="13" t="n">
        <x:f>VLOOKUP(A57,'Tasks'!$A$2:$X$224,12,FALSE)</x:f>
        <x:v>46318</x:v>
      </x:c>
      <x:c r="D57" s="2" t="n">
        <x:f>IF(B57="",0,LEN(B57)-LEN(SUBSTITUTE(B57,",",""))+1)</x:f>
        <x:v>4</x:v>
      </x:c>
      <x:c r="E57" s="14" t="n">
        <x:f>MAX(P57:W57)</x:f>
        <x:v>46317</x:v>
      </x:c>
      <x:c r="F57" s="2" t="n">
        <x:f>COUNTIFS(P57:W57,"BAD ID")</x:f>
        <x:v>0</x:v>
      </x:c>
      <x:c r="G57" s="2" t="str">
        <x:f>IF(D57&gt;8,"TOO MANY",IF(F57&gt;0,"BAD ID",IF(C57&gt;=E57,"OK","LATE")))</x:f>
        <x:v>OK</x:v>
      </x:c>
      <x:c r="H57" s="2" t="str">
        <x:f>TRIM(MID(SUBSTITUTE($B57,",",REPT(" ",100)),1,100))</x:f>
        <x:v>BL-D-09</x:v>
      </x:c>
      <x:c r="I57" s="2" t="str">
        <x:f>TRIM(MID(SUBSTITUTE($B57,",",REPT(" ",100)),101,100))</x:f>
        <x:v>BL-C-07</x:v>
      </x:c>
      <x:c r="J57" s="2" t="str">
        <x:f>TRIM(MID(SUBSTITUTE($B57,",",REPT(" ",100)),201,100))</x:f>
        <x:v>BL-F-07</x:v>
      </x:c>
      <x:c r="K57" s="2" t="str">
        <x:f>TRIM(MID(SUBSTITUTE($B57,",",REPT(" ",100)),301,100))</x:f>
        <x:v>BL-B-07</x:v>
      </x:c>
      <x:c r="L57" s="2" t="str">
        <x:f>TRIM(MID(SUBSTITUTE($B57,",",REPT(" ",100)),401,100))</x:f>
      </x:c>
      <x:c r="M57" s="2" t="str">
        <x:f>TRIM(MID(SUBSTITUTE($B57,",",REPT(" ",100)),501,100))</x:f>
      </x:c>
      <x:c r="N57" s="2" t="str">
        <x:f>TRIM(MID(SUBSTITUTE($B57,",",REPT(" ",100)),601,100))</x:f>
      </x:c>
      <x:c r="O57" s="2" t="str">
        <x:f>TRIM(MID(SUBSTITUTE($B57,",",REPT(" ",100)),701,100))</x:f>
      </x:c>
      <x:c r="P57" s="14" t="n">
        <x:f>IF(H57="",0,IF(COUNTIFS('Tasks'!$A$2:$A$224,H57)=1,INDEX('Tasks'!$M$2:$M$224,MATCH(H57,'Tasks'!$A$2:$A$224,0)),"BAD ID"))</x:f>
        <x:v>46317</x:v>
      </x:c>
      <x:c r="Q57" s="14" t="n">
        <x:f>IF(I57="",0,IF(COUNTIFS('Tasks'!$A$2:$A$224,I57)=1,INDEX('Tasks'!$M$2:$M$224,MATCH(I57,'Tasks'!$A$2:$A$224,0)),"BAD ID"))</x:f>
        <x:v>46317</x:v>
      </x:c>
      <x:c r="R57" s="14" t="n">
        <x:f>IF(J57="",0,IF(COUNTIFS('Tasks'!$A$2:$A$224,J57)=1,INDEX('Tasks'!$M$2:$M$224,MATCH(J57,'Tasks'!$A$2:$A$224,0)),"BAD ID"))</x:f>
        <x:v>46317</x:v>
      </x:c>
      <x:c r="S57" s="14" t="n">
        <x:f>IF(K57="",0,IF(COUNTIFS('Tasks'!$A$2:$A$224,K57)=1,INDEX('Tasks'!$M$2:$M$224,MATCH(K57,'Tasks'!$A$2:$A$224,0)),"BAD ID"))</x:f>
        <x:v>46317</x:v>
      </x:c>
      <x:c r="T57" s="14" t="n">
        <x:f>IF(L57="",0,IF(COUNTIFS('Tasks'!$A$2:$A$224,L57)=1,INDEX('Tasks'!$M$2:$M$224,MATCH(L57,'Tasks'!$A$2:$A$224,0)),"BAD ID"))</x:f>
        <x:v>0</x:v>
      </x:c>
      <x:c r="U57" s="14" t="n">
        <x:f>IF(M57="",0,IF(COUNTIFS('Tasks'!$A$2:$A$224,M57)=1,INDEX('Tasks'!$M$2:$M$224,MATCH(M57,'Tasks'!$A$2:$A$224,0)),"BAD ID"))</x:f>
        <x:v>0</x:v>
      </x:c>
      <x:c r="V57" s="14" t="n">
        <x:f>IF(N57="",0,IF(COUNTIFS('Tasks'!$A$2:$A$224,N57)=1,INDEX('Tasks'!$M$2:$M$224,MATCH(N57,'Tasks'!$A$2:$A$224,0)),"BAD ID"))</x:f>
        <x:v>0</x:v>
      </x:c>
      <x:c r="W57" s="14" t="n">
        <x:f>IF(O57="",0,IF(COUNTIFS('Tasks'!$A$2:$A$224,O57)=1,INDEX('Tasks'!$M$2:$M$224,MATCH(O57,'Tasks'!$A$2:$A$224,0)),"BAD ID"))</x:f>
        <x:v>0</x:v>
      </x:c>
    </x:row>
    <x:row r="58" ht="28" customHeight="1">
      <x:c r="A58" s="2" t="str">
        <x:v>TEST-05</x:v>
      </x:c>
      <x:c r="B58" s="2" t="str">
        <x:f>IF(VLOOKUP(A58,'Tasks'!$A$2:$X$224,15,FALSE)="","",VLOOKUP(A58,'Tasks'!$A$2:$X$224,15,FALSE))</x:f>
        <x:v>BL-D-09,BL-C-07,BL-F-07,BL-B-07</x:v>
      </x:c>
      <x:c r="C58" s="13" t="n">
        <x:f>VLOOKUP(A58,'Tasks'!$A$2:$X$224,12,FALSE)</x:f>
        <x:v>46318</x:v>
      </x:c>
      <x:c r="D58" s="2" t="n">
        <x:f>IF(B58="",0,LEN(B58)-LEN(SUBSTITUTE(B58,",",""))+1)</x:f>
        <x:v>4</x:v>
      </x:c>
      <x:c r="E58" s="14" t="n">
        <x:f>MAX(P58:W58)</x:f>
        <x:v>46317</x:v>
      </x:c>
      <x:c r="F58" s="2" t="n">
        <x:f>COUNTIFS(P58:W58,"BAD ID")</x:f>
        <x:v>0</x:v>
      </x:c>
      <x:c r="G58" s="2" t="str">
        <x:f>IF(D58&gt;8,"TOO MANY",IF(F58&gt;0,"BAD ID",IF(C58&gt;=E58,"OK","LATE")))</x:f>
        <x:v>OK</x:v>
      </x:c>
      <x:c r="H58" s="2" t="str">
        <x:f>TRIM(MID(SUBSTITUTE($B58,",",REPT(" ",100)),1,100))</x:f>
        <x:v>BL-D-09</x:v>
      </x:c>
      <x:c r="I58" s="2" t="str">
        <x:f>TRIM(MID(SUBSTITUTE($B58,",",REPT(" ",100)),101,100))</x:f>
        <x:v>BL-C-07</x:v>
      </x:c>
      <x:c r="J58" s="2" t="str">
        <x:f>TRIM(MID(SUBSTITUTE($B58,",",REPT(" ",100)),201,100))</x:f>
        <x:v>BL-F-07</x:v>
      </x:c>
      <x:c r="K58" s="2" t="str">
        <x:f>TRIM(MID(SUBSTITUTE($B58,",",REPT(" ",100)),301,100))</x:f>
        <x:v>BL-B-07</x:v>
      </x:c>
      <x:c r="L58" s="2" t="str">
        <x:f>TRIM(MID(SUBSTITUTE($B58,",",REPT(" ",100)),401,100))</x:f>
      </x:c>
      <x:c r="M58" s="2" t="str">
        <x:f>TRIM(MID(SUBSTITUTE($B58,",",REPT(" ",100)),501,100))</x:f>
      </x:c>
      <x:c r="N58" s="2" t="str">
        <x:f>TRIM(MID(SUBSTITUTE($B58,",",REPT(" ",100)),601,100))</x:f>
      </x:c>
      <x:c r="O58" s="2" t="str">
        <x:f>TRIM(MID(SUBSTITUTE($B58,",",REPT(" ",100)),701,100))</x:f>
      </x:c>
      <x:c r="P58" s="14" t="n">
        <x:f>IF(H58="",0,IF(COUNTIFS('Tasks'!$A$2:$A$224,H58)=1,INDEX('Tasks'!$M$2:$M$224,MATCH(H58,'Tasks'!$A$2:$A$224,0)),"BAD ID"))</x:f>
        <x:v>46317</x:v>
      </x:c>
      <x:c r="Q58" s="14" t="n">
        <x:f>IF(I58="",0,IF(COUNTIFS('Tasks'!$A$2:$A$224,I58)=1,INDEX('Tasks'!$M$2:$M$224,MATCH(I58,'Tasks'!$A$2:$A$224,0)),"BAD ID"))</x:f>
        <x:v>46317</x:v>
      </x:c>
      <x:c r="R58" s="14" t="n">
        <x:f>IF(J58="",0,IF(COUNTIFS('Tasks'!$A$2:$A$224,J58)=1,INDEX('Tasks'!$M$2:$M$224,MATCH(J58,'Tasks'!$A$2:$A$224,0)),"BAD ID"))</x:f>
        <x:v>46317</x:v>
      </x:c>
      <x:c r="S58" s="14" t="n">
        <x:f>IF(K58="",0,IF(COUNTIFS('Tasks'!$A$2:$A$224,K58)=1,INDEX('Tasks'!$M$2:$M$224,MATCH(K58,'Tasks'!$A$2:$A$224,0)),"BAD ID"))</x:f>
        <x:v>46317</x:v>
      </x:c>
      <x:c r="T58" s="14" t="n">
        <x:f>IF(L58="",0,IF(COUNTIFS('Tasks'!$A$2:$A$224,L58)=1,INDEX('Tasks'!$M$2:$M$224,MATCH(L58,'Tasks'!$A$2:$A$224,0)),"BAD ID"))</x:f>
        <x:v>0</x:v>
      </x:c>
      <x:c r="U58" s="14" t="n">
        <x:f>IF(M58="",0,IF(COUNTIFS('Tasks'!$A$2:$A$224,M58)=1,INDEX('Tasks'!$M$2:$M$224,MATCH(M58,'Tasks'!$A$2:$A$224,0)),"BAD ID"))</x:f>
        <x:v>0</x:v>
      </x:c>
      <x:c r="V58" s="14" t="n">
        <x:f>IF(N58="",0,IF(COUNTIFS('Tasks'!$A$2:$A$224,N58)=1,INDEX('Tasks'!$M$2:$M$224,MATCH(N58,'Tasks'!$A$2:$A$224,0)),"BAD ID"))</x:f>
        <x:v>0</x:v>
      </x:c>
      <x:c r="W58" s="14" t="n">
        <x:f>IF(O58="",0,IF(COUNTIFS('Tasks'!$A$2:$A$224,O58)=1,INDEX('Tasks'!$M$2:$M$224,MATCH(O58,'Tasks'!$A$2:$A$224,0)),"BAD ID"))</x:f>
        <x:v>0</x:v>
      </x:c>
    </x:row>
    <x:row r="59" ht="28" customHeight="1">
      <x:c r="A59" s="2" t="str">
        <x:v>TEST-06</x:v>
      </x:c>
      <x:c r="B59" s="2" t="str">
        <x:f>IF(VLOOKUP(A59,'Tasks'!$A$2:$X$224,15,FALSE)="","",VLOOKUP(A59,'Tasks'!$A$2:$X$224,15,FALSE))</x:f>
        <x:v>BL-A-06,BL-F-07,BL-B-07</x:v>
      </x:c>
      <x:c r="C59" s="13" t="n">
        <x:f>VLOOKUP(A59,'Tasks'!$A$2:$X$224,12,FALSE)</x:f>
        <x:v>46318</x:v>
      </x:c>
      <x:c r="D59" s="2" t="n">
        <x:f>IF(B59="",0,LEN(B59)-LEN(SUBSTITUTE(B59,",",""))+1)</x:f>
        <x:v>3</x:v>
      </x:c>
      <x:c r="E59" s="14" t="n">
        <x:f>MAX(P59:W59)</x:f>
        <x:v>46317</x:v>
      </x:c>
      <x:c r="F59" s="2" t="n">
        <x:f>COUNTIFS(P59:W59,"BAD ID")</x:f>
        <x:v>0</x:v>
      </x:c>
      <x:c r="G59" s="2" t="str">
        <x:f>IF(D59&gt;8,"TOO MANY",IF(F59&gt;0,"BAD ID",IF(C59&gt;=E59,"OK","LATE")))</x:f>
        <x:v>OK</x:v>
      </x:c>
      <x:c r="H59" s="2" t="str">
        <x:f>TRIM(MID(SUBSTITUTE($B59,",",REPT(" ",100)),1,100))</x:f>
        <x:v>BL-A-06</x:v>
      </x:c>
      <x:c r="I59" s="2" t="str">
        <x:f>TRIM(MID(SUBSTITUTE($B59,",",REPT(" ",100)),101,100))</x:f>
        <x:v>BL-F-07</x:v>
      </x:c>
      <x:c r="J59" s="2" t="str">
        <x:f>TRIM(MID(SUBSTITUTE($B59,",",REPT(" ",100)),201,100))</x:f>
        <x:v>BL-B-07</x:v>
      </x:c>
      <x:c r="K59" s="2" t="str">
        <x:f>TRIM(MID(SUBSTITUTE($B59,",",REPT(" ",100)),301,100))</x:f>
      </x:c>
      <x:c r="L59" s="2" t="str">
        <x:f>TRIM(MID(SUBSTITUTE($B59,",",REPT(" ",100)),401,100))</x:f>
      </x:c>
      <x:c r="M59" s="2" t="str">
        <x:f>TRIM(MID(SUBSTITUTE($B59,",",REPT(" ",100)),501,100))</x:f>
      </x:c>
      <x:c r="N59" s="2" t="str">
        <x:f>TRIM(MID(SUBSTITUTE($B59,",",REPT(" ",100)),601,100))</x:f>
      </x:c>
      <x:c r="O59" s="2" t="str">
        <x:f>TRIM(MID(SUBSTITUTE($B59,",",REPT(" ",100)),701,100))</x:f>
      </x:c>
      <x:c r="P59" s="14" t="n">
        <x:f>IF(H59="",0,IF(COUNTIFS('Tasks'!$A$2:$A$224,H59)=1,INDEX('Tasks'!$M$2:$M$224,MATCH(H59,'Tasks'!$A$2:$A$224,0)),"BAD ID"))</x:f>
        <x:v>46315</x:v>
      </x:c>
      <x:c r="Q59" s="14" t="n">
        <x:f>IF(I59="",0,IF(COUNTIFS('Tasks'!$A$2:$A$224,I59)=1,INDEX('Tasks'!$M$2:$M$224,MATCH(I59,'Tasks'!$A$2:$A$224,0)),"BAD ID"))</x:f>
        <x:v>46317</x:v>
      </x:c>
      <x:c r="R59" s="14" t="n">
        <x:f>IF(J59="",0,IF(COUNTIFS('Tasks'!$A$2:$A$224,J59)=1,INDEX('Tasks'!$M$2:$M$224,MATCH(J59,'Tasks'!$A$2:$A$224,0)),"BAD ID"))</x:f>
        <x:v>46317</x:v>
      </x:c>
      <x:c r="S59" s="14" t="n">
        <x:f>IF(K59="",0,IF(COUNTIFS('Tasks'!$A$2:$A$224,K59)=1,INDEX('Tasks'!$M$2:$M$224,MATCH(K59,'Tasks'!$A$2:$A$224,0)),"BAD ID"))</x:f>
        <x:v>0</x:v>
      </x:c>
      <x:c r="T59" s="14" t="n">
        <x:f>IF(L59="",0,IF(COUNTIFS('Tasks'!$A$2:$A$224,L59)=1,INDEX('Tasks'!$M$2:$M$224,MATCH(L59,'Tasks'!$A$2:$A$224,0)),"BAD ID"))</x:f>
        <x:v>0</x:v>
      </x:c>
      <x:c r="U59" s="14" t="n">
        <x:f>IF(M59="",0,IF(COUNTIFS('Tasks'!$A$2:$A$224,M59)=1,INDEX('Tasks'!$M$2:$M$224,MATCH(M59,'Tasks'!$A$2:$A$224,0)),"BAD ID"))</x:f>
        <x:v>0</x:v>
      </x:c>
      <x:c r="V59" s="14" t="n">
        <x:f>IF(N59="",0,IF(COUNTIFS('Tasks'!$A$2:$A$224,N59)=1,INDEX('Tasks'!$M$2:$M$224,MATCH(N59,'Tasks'!$A$2:$A$224,0)),"BAD ID"))</x:f>
        <x:v>0</x:v>
      </x:c>
      <x:c r="W59" s="14" t="n">
        <x:f>IF(O59="",0,IF(COUNTIFS('Tasks'!$A$2:$A$224,O59)=1,INDEX('Tasks'!$M$2:$M$224,MATCH(O59,'Tasks'!$A$2:$A$224,0)),"BAD ID"))</x:f>
        <x:v>0</x:v>
      </x:c>
    </x:row>
    <x:row r="60" ht="28" customHeight="1">
      <x:c r="A60" s="2" t="str">
        <x:v>TEST-07</x:v>
      </x:c>
      <x:c r="B60" s="2" t="str">
        <x:f>IF(VLOOKUP(A60,'Tasks'!$A$2:$X$224,15,FALSE)="","",VLOOKUP(A60,'Tasks'!$A$2:$X$224,15,FALSE))</x:f>
        <x:v>BL-D-09,BL-C-07,BL-F-07,BL-B-07</x:v>
      </x:c>
      <x:c r="C60" s="13" t="n">
        <x:f>VLOOKUP(A60,'Tasks'!$A$2:$X$224,12,FALSE)</x:f>
        <x:v>46318</x:v>
      </x:c>
      <x:c r="D60" s="2" t="n">
        <x:f>IF(B60="",0,LEN(B60)-LEN(SUBSTITUTE(B60,",",""))+1)</x:f>
        <x:v>4</x:v>
      </x:c>
      <x:c r="E60" s="14" t="n">
        <x:f>MAX(P60:W60)</x:f>
        <x:v>46317</x:v>
      </x:c>
      <x:c r="F60" s="2" t="n">
        <x:f>COUNTIFS(P60:W60,"BAD ID")</x:f>
        <x:v>0</x:v>
      </x:c>
      <x:c r="G60" s="2" t="str">
        <x:f>IF(D60&gt;8,"TOO MANY",IF(F60&gt;0,"BAD ID",IF(C60&gt;=E60,"OK","LATE")))</x:f>
        <x:v>OK</x:v>
      </x:c>
      <x:c r="H60" s="2" t="str">
        <x:f>TRIM(MID(SUBSTITUTE($B60,",",REPT(" ",100)),1,100))</x:f>
        <x:v>BL-D-09</x:v>
      </x:c>
      <x:c r="I60" s="2" t="str">
        <x:f>TRIM(MID(SUBSTITUTE($B60,",",REPT(" ",100)),101,100))</x:f>
        <x:v>BL-C-07</x:v>
      </x:c>
      <x:c r="J60" s="2" t="str">
        <x:f>TRIM(MID(SUBSTITUTE($B60,",",REPT(" ",100)),201,100))</x:f>
        <x:v>BL-F-07</x:v>
      </x:c>
      <x:c r="K60" s="2" t="str">
        <x:f>TRIM(MID(SUBSTITUTE($B60,",",REPT(" ",100)),301,100))</x:f>
        <x:v>BL-B-07</x:v>
      </x:c>
      <x:c r="L60" s="2" t="str">
        <x:f>TRIM(MID(SUBSTITUTE($B60,",",REPT(" ",100)),401,100))</x:f>
      </x:c>
      <x:c r="M60" s="2" t="str">
        <x:f>TRIM(MID(SUBSTITUTE($B60,",",REPT(" ",100)),501,100))</x:f>
      </x:c>
      <x:c r="N60" s="2" t="str">
        <x:f>TRIM(MID(SUBSTITUTE($B60,",",REPT(" ",100)),601,100))</x:f>
      </x:c>
      <x:c r="O60" s="2" t="str">
        <x:f>TRIM(MID(SUBSTITUTE($B60,",",REPT(" ",100)),701,100))</x:f>
      </x:c>
      <x:c r="P60" s="14" t="n">
        <x:f>IF(H60="",0,IF(COUNTIFS('Tasks'!$A$2:$A$224,H60)=1,INDEX('Tasks'!$M$2:$M$224,MATCH(H60,'Tasks'!$A$2:$A$224,0)),"BAD ID"))</x:f>
        <x:v>46317</x:v>
      </x:c>
      <x:c r="Q60" s="14" t="n">
        <x:f>IF(I60="",0,IF(COUNTIFS('Tasks'!$A$2:$A$224,I60)=1,INDEX('Tasks'!$M$2:$M$224,MATCH(I60,'Tasks'!$A$2:$A$224,0)),"BAD ID"))</x:f>
        <x:v>46317</x:v>
      </x:c>
      <x:c r="R60" s="14" t="n">
        <x:f>IF(J60="",0,IF(COUNTIFS('Tasks'!$A$2:$A$224,J60)=1,INDEX('Tasks'!$M$2:$M$224,MATCH(J60,'Tasks'!$A$2:$A$224,0)),"BAD ID"))</x:f>
        <x:v>46317</x:v>
      </x:c>
      <x:c r="S60" s="14" t="n">
        <x:f>IF(K60="",0,IF(COUNTIFS('Tasks'!$A$2:$A$224,K60)=1,INDEX('Tasks'!$M$2:$M$224,MATCH(K60,'Tasks'!$A$2:$A$224,0)),"BAD ID"))</x:f>
        <x:v>46317</x:v>
      </x:c>
      <x:c r="T60" s="14" t="n">
        <x:f>IF(L60="",0,IF(COUNTIFS('Tasks'!$A$2:$A$224,L60)=1,INDEX('Tasks'!$M$2:$M$224,MATCH(L60,'Tasks'!$A$2:$A$224,0)),"BAD ID"))</x:f>
        <x:v>0</x:v>
      </x:c>
      <x:c r="U60" s="14" t="n">
        <x:f>IF(M60="",0,IF(COUNTIFS('Tasks'!$A$2:$A$224,M60)=1,INDEX('Tasks'!$M$2:$M$224,MATCH(M60,'Tasks'!$A$2:$A$224,0)),"BAD ID"))</x:f>
        <x:v>0</x:v>
      </x:c>
      <x:c r="V60" s="14" t="n">
        <x:f>IF(N60="",0,IF(COUNTIFS('Tasks'!$A$2:$A$224,N60)=1,INDEX('Tasks'!$M$2:$M$224,MATCH(N60,'Tasks'!$A$2:$A$224,0)),"BAD ID"))</x:f>
        <x:v>0</x:v>
      </x:c>
      <x:c r="W60" s="14" t="n">
        <x:f>IF(O60="",0,IF(COUNTIFS('Tasks'!$A$2:$A$224,O60)=1,INDEX('Tasks'!$M$2:$M$224,MATCH(O60,'Tasks'!$A$2:$A$224,0)),"BAD ID"))</x:f>
        <x:v>0</x:v>
      </x:c>
    </x:row>
    <x:row r="61" ht="28" customHeight="1">
      <x:c r="A61" s="2" t="str">
        <x:v>TEST-08</x:v>
      </x:c>
      <x:c r="B61" s="2" t="str">
        <x:f>IF(VLOOKUP(A61,'Tasks'!$A$2:$X$224,15,FALSE)="","",VLOOKUP(A61,'Tasks'!$A$2:$X$224,15,FALSE))</x:f>
        <x:v>TEST-04,TEST-05,TEST-06,TEST-07</x:v>
      </x:c>
      <x:c r="C61" s="13" t="n">
        <x:f>VLOOKUP(A61,'Tasks'!$A$2:$X$224,12,FALSE)</x:f>
        <x:v>46319</x:v>
      </x:c>
      <x:c r="D61" s="2" t="n">
        <x:f>IF(B61="",0,LEN(B61)-LEN(SUBSTITUTE(B61,",",""))+1)</x:f>
        <x:v>4</x:v>
      </x:c>
      <x:c r="E61" s="14" t="n">
        <x:f>MAX(P61:W61)</x:f>
        <x:v>46318</x:v>
      </x:c>
      <x:c r="F61" s="2" t="n">
        <x:f>COUNTIFS(P61:W61,"BAD ID")</x:f>
        <x:v>0</x:v>
      </x:c>
      <x:c r="G61" s="2" t="str">
        <x:f>IF(D61&gt;8,"TOO MANY",IF(F61&gt;0,"BAD ID",IF(C61&gt;=E61,"OK","LATE")))</x:f>
        <x:v>OK</x:v>
      </x:c>
      <x:c r="H61" s="2" t="str">
        <x:f>TRIM(MID(SUBSTITUTE($B61,",",REPT(" ",100)),1,100))</x:f>
        <x:v>TEST-04</x:v>
      </x:c>
      <x:c r="I61" s="2" t="str">
        <x:f>TRIM(MID(SUBSTITUTE($B61,",",REPT(" ",100)),101,100))</x:f>
        <x:v>TEST-05</x:v>
      </x:c>
      <x:c r="J61" s="2" t="str">
        <x:f>TRIM(MID(SUBSTITUTE($B61,",",REPT(" ",100)),201,100))</x:f>
        <x:v>TEST-06</x:v>
      </x:c>
      <x:c r="K61" s="2" t="str">
        <x:f>TRIM(MID(SUBSTITUTE($B61,",",REPT(" ",100)),301,100))</x:f>
        <x:v>TEST-07</x:v>
      </x:c>
      <x:c r="L61" s="2" t="str">
        <x:f>TRIM(MID(SUBSTITUTE($B61,",",REPT(" ",100)),401,100))</x:f>
      </x:c>
      <x:c r="M61" s="2" t="str">
        <x:f>TRIM(MID(SUBSTITUTE($B61,",",REPT(" ",100)),501,100))</x:f>
      </x:c>
      <x:c r="N61" s="2" t="str">
        <x:f>TRIM(MID(SUBSTITUTE($B61,",",REPT(" ",100)),601,100))</x:f>
      </x:c>
      <x:c r="O61" s="2" t="str">
        <x:f>TRIM(MID(SUBSTITUTE($B61,",",REPT(" ",100)),701,100))</x:f>
      </x:c>
      <x:c r="P61" s="14" t="n">
        <x:f>IF(H61="",0,IF(COUNTIFS('Tasks'!$A$2:$A$224,H61)=1,INDEX('Tasks'!$M$2:$M$224,MATCH(H61,'Tasks'!$A$2:$A$224,0)),"BAD ID"))</x:f>
        <x:v>46318</x:v>
      </x:c>
      <x:c r="Q61" s="14" t="n">
        <x:f>IF(I61="",0,IF(COUNTIFS('Tasks'!$A$2:$A$224,I61)=1,INDEX('Tasks'!$M$2:$M$224,MATCH(I61,'Tasks'!$A$2:$A$224,0)),"BAD ID"))</x:f>
        <x:v>46318</x:v>
      </x:c>
      <x:c r="R61" s="14" t="n">
        <x:f>IF(J61="",0,IF(COUNTIFS('Tasks'!$A$2:$A$224,J61)=1,INDEX('Tasks'!$M$2:$M$224,MATCH(J61,'Tasks'!$A$2:$A$224,0)),"BAD ID"))</x:f>
        <x:v>46318</x:v>
      </x:c>
      <x:c r="S61" s="14" t="n">
        <x:f>IF(K61="",0,IF(COUNTIFS('Tasks'!$A$2:$A$224,K61)=1,INDEX('Tasks'!$M$2:$M$224,MATCH(K61,'Tasks'!$A$2:$A$224,0)),"BAD ID"))</x:f>
        <x:v>46318</x:v>
      </x:c>
      <x:c r="T61" s="14" t="n">
        <x:f>IF(L61="",0,IF(COUNTIFS('Tasks'!$A$2:$A$224,L61)=1,INDEX('Tasks'!$M$2:$M$224,MATCH(L61,'Tasks'!$A$2:$A$224,0)),"BAD ID"))</x:f>
        <x:v>0</x:v>
      </x:c>
      <x:c r="U61" s="14" t="n">
        <x:f>IF(M61="",0,IF(COUNTIFS('Tasks'!$A$2:$A$224,M61)=1,INDEX('Tasks'!$M$2:$M$224,MATCH(M61,'Tasks'!$A$2:$A$224,0)),"BAD ID"))</x:f>
        <x:v>0</x:v>
      </x:c>
      <x:c r="V61" s="14" t="n">
        <x:f>IF(N61="",0,IF(COUNTIFS('Tasks'!$A$2:$A$224,N61)=1,INDEX('Tasks'!$M$2:$M$224,MATCH(N61,'Tasks'!$A$2:$A$224,0)),"BAD ID"))</x:f>
        <x:v>0</x:v>
      </x:c>
      <x:c r="W61" s="14" t="n">
        <x:f>IF(O61="",0,IF(COUNTIFS('Tasks'!$A$2:$A$224,O61)=1,INDEX('Tasks'!$M$2:$M$224,MATCH(O61,'Tasks'!$A$2:$A$224,0)),"BAD ID"))</x:f>
        <x:v>0</x:v>
      </x:c>
    </x:row>
    <x:row r="62" ht="28" customHeight="1">
      <x:c r="A62" s="2" t="str">
        <x:v>TEST-09</x:v>
      </x:c>
      <x:c r="B62" s="2" t="str">
        <x:f>IF(VLOOKUP(A62,'Tasks'!$A$2:$X$224,15,FALSE)="","",VLOOKUP(A62,'Tasks'!$A$2:$X$224,15,FALSE))</x:f>
        <x:v>TEST-04,TEST-05,TEST-06,TEST-07</x:v>
      </x:c>
      <x:c r="C62" s="13" t="n">
        <x:f>VLOOKUP(A62,'Tasks'!$A$2:$X$224,12,FALSE)</x:f>
        <x:v>46319</x:v>
      </x:c>
      <x:c r="D62" s="2" t="n">
        <x:f>IF(B62="",0,LEN(B62)-LEN(SUBSTITUTE(B62,",",""))+1)</x:f>
        <x:v>4</x:v>
      </x:c>
      <x:c r="E62" s="14" t="n">
        <x:f>MAX(P62:W62)</x:f>
        <x:v>46318</x:v>
      </x:c>
      <x:c r="F62" s="2" t="n">
        <x:f>COUNTIFS(P62:W62,"BAD ID")</x:f>
        <x:v>0</x:v>
      </x:c>
      <x:c r="G62" s="2" t="str">
        <x:f>IF(D62&gt;8,"TOO MANY",IF(F62&gt;0,"BAD ID",IF(C62&gt;=E62,"OK","LATE")))</x:f>
        <x:v>OK</x:v>
      </x:c>
      <x:c r="H62" s="2" t="str">
        <x:f>TRIM(MID(SUBSTITUTE($B62,",",REPT(" ",100)),1,100))</x:f>
        <x:v>TEST-04</x:v>
      </x:c>
      <x:c r="I62" s="2" t="str">
        <x:f>TRIM(MID(SUBSTITUTE($B62,",",REPT(" ",100)),101,100))</x:f>
        <x:v>TEST-05</x:v>
      </x:c>
      <x:c r="J62" s="2" t="str">
        <x:f>TRIM(MID(SUBSTITUTE($B62,",",REPT(" ",100)),201,100))</x:f>
        <x:v>TEST-06</x:v>
      </x:c>
      <x:c r="K62" s="2" t="str">
        <x:f>TRIM(MID(SUBSTITUTE($B62,",",REPT(" ",100)),301,100))</x:f>
        <x:v>TEST-07</x:v>
      </x:c>
      <x:c r="L62" s="2" t="str">
        <x:f>TRIM(MID(SUBSTITUTE($B62,",",REPT(" ",100)),401,100))</x:f>
      </x:c>
      <x:c r="M62" s="2" t="str">
        <x:f>TRIM(MID(SUBSTITUTE($B62,",",REPT(" ",100)),501,100))</x:f>
      </x:c>
      <x:c r="N62" s="2" t="str">
        <x:f>TRIM(MID(SUBSTITUTE($B62,",",REPT(" ",100)),601,100))</x:f>
      </x:c>
      <x:c r="O62" s="2" t="str">
        <x:f>TRIM(MID(SUBSTITUTE($B62,",",REPT(" ",100)),701,100))</x:f>
      </x:c>
      <x:c r="P62" s="14" t="n">
        <x:f>IF(H62="",0,IF(COUNTIFS('Tasks'!$A$2:$A$224,H62)=1,INDEX('Tasks'!$M$2:$M$224,MATCH(H62,'Tasks'!$A$2:$A$224,0)),"BAD ID"))</x:f>
        <x:v>46318</x:v>
      </x:c>
      <x:c r="Q62" s="14" t="n">
        <x:f>IF(I62="",0,IF(COUNTIFS('Tasks'!$A$2:$A$224,I62)=1,INDEX('Tasks'!$M$2:$M$224,MATCH(I62,'Tasks'!$A$2:$A$224,0)),"BAD ID"))</x:f>
        <x:v>46318</x:v>
      </x:c>
      <x:c r="R62" s="14" t="n">
        <x:f>IF(J62="",0,IF(COUNTIFS('Tasks'!$A$2:$A$224,J62)=1,INDEX('Tasks'!$M$2:$M$224,MATCH(J62,'Tasks'!$A$2:$A$224,0)),"BAD ID"))</x:f>
        <x:v>46318</x:v>
      </x:c>
      <x:c r="S62" s="14" t="n">
        <x:f>IF(K62="",0,IF(COUNTIFS('Tasks'!$A$2:$A$224,K62)=1,INDEX('Tasks'!$M$2:$M$224,MATCH(K62,'Tasks'!$A$2:$A$224,0)),"BAD ID"))</x:f>
        <x:v>46318</x:v>
      </x:c>
      <x:c r="T62" s="14" t="n">
        <x:f>IF(L62="",0,IF(COUNTIFS('Tasks'!$A$2:$A$224,L62)=1,INDEX('Tasks'!$M$2:$M$224,MATCH(L62,'Tasks'!$A$2:$A$224,0)),"BAD ID"))</x:f>
        <x:v>0</x:v>
      </x:c>
      <x:c r="U62" s="14" t="n">
        <x:f>IF(M62="",0,IF(COUNTIFS('Tasks'!$A$2:$A$224,M62)=1,INDEX('Tasks'!$M$2:$M$224,MATCH(M62,'Tasks'!$A$2:$A$224,0)),"BAD ID"))</x:f>
        <x:v>0</x:v>
      </x:c>
      <x:c r="V62" s="14" t="n">
        <x:f>IF(N62="",0,IF(COUNTIFS('Tasks'!$A$2:$A$224,N62)=1,INDEX('Tasks'!$M$2:$M$224,MATCH(N62,'Tasks'!$A$2:$A$224,0)),"BAD ID"))</x:f>
        <x:v>0</x:v>
      </x:c>
      <x:c r="W62" s="14" t="n">
        <x:f>IF(O62="",0,IF(COUNTIFS('Tasks'!$A$2:$A$224,O62)=1,INDEX('Tasks'!$M$2:$M$224,MATCH(O62,'Tasks'!$A$2:$A$224,0)),"BAD ID"))</x:f>
        <x:v>0</x:v>
      </x:c>
    </x:row>
    <x:row r="63" ht="28" customHeight="1">
      <x:c r="A63" s="2" t="str">
        <x:v>TEST-10</x:v>
      </x:c>
      <x:c r="B63" s="2" t="str">
        <x:f>IF(VLOOKUP(A63,'Tasks'!$A$2:$X$224,15,FALSE)="","",VLOOKUP(A63,'Tasks'!$A$2:$X$224,15,FALSE))</x:f>
        <x:v>TEST-07,TEST-06</x:v>
      </x:c>
      <x:c r="C63" s="13" t="n">
        <x:f>VLOOKUP(A63,'Tasks'!$A$2:$X$224,12,FALSE)</x:f>
        <x:v>46319</x:v>
      </x:c>
      <x:c r="D63" s="2" t="n">
        <x:f>IF(B63="",0,LEN(B63)-LEN(SUBSTITUTE(B63,",",""))+1)</x:f>
        <x:v>2</x:v>
      </x:c>
      <x:c r="E63" s="14" t="n">
        <x:f>MAX(P63:W63)</x:f>
        <x:v>46318</x:v>
      </x:c>
      <x:c r="F63" s="2" t="n">
        <x:f>COUNTIFS(P63:W63,"BAD ID")</x:f>
        <x:v>0</x:v>
      </x:c>
      <x:c r="G63" s="2" t="str">
        <x:f>IF(D63&gt;8,"TOO MANY",IF(F63&gt;0,"BAD ID",IF(C63&gt;=E63,"OK","LATE")))</x:f>
        <x:v>OK</x:v>
      </x:c>
      <x:c r="H63" s="2" t="str">
        <x:f>TRIM(MID(SUBSTITUTE($B63,",",REPT(" ",100)),1,100))</x:f>
        <x:v>TEST-07</x:v>
      </x:c>
      <x:c r="I63" s="2" t="str">
        <x:f>TRIM(MID(SUBSTITUTE($B63,",",REPT(" ",100)),101,100))</x:f>
        <x:v>TEST-06</x:v>
      </x:c>
      <x:c r="J63" s="2" t="str">
        <x:f>TRIM(MID(SUBSTITUTE($B63,",",REPT(" ",100)),201,100))</x:f>
      </x:c>
      <x:c r="K63" s="2" t="str">
        <x:f>TRIM(MID(SUBSTITUTE($B63,",",REPT(" ",100)),301,100))</x:f>
      </x:c>
      <x:c r="L63" s="2" t="str">
        <x:f>TRIM(MID(SUBSTITUTE($B63,",",REPT(" ",100)),401,100))</x:f>
      </x:c>
      <x:c r="M63" s="2" t="str">
        <x:f>TRIM(MID(SUBSTITUTE($B63,",",REPT(" ",100)),501,100))</x:f>
      </x:c>
      <x:c r="N63" s="2" t="str">
        <x:f>TRIM(MID(SUBSTITUTE($B63,",",REPT(" ",100)),601,100))</x:f>
      </x:c>
      <x:c r="O63" s="2" t="str">
        <x:f>TRIM(MID(SUBSTITUTE($B63,",",REPT(" ",100)),701,100))</x:f>
      </x:c>
      <x:c r="P63" s="14" t="n">
        <x:f>IF(H63="",0,IF(COUNTIFS('Tasks'!$A$2:$A$224,H63)=1,INDEX('Tasks'!$M$2:$M$224,MATCH(H63,'Tasks'!$A$2:$A$224,0)),"BAD ID"))</x:f>
        <x:v>46318</x:v>
      </x:c>
      <x:c r="Q63" s="14" t="n">
        <x:f>IF(I63="",0,IF(COUNTIFS('Tasks'!$A$2:$A$224,I63)=1,INDEX('Tasks'!$M$2:$M$224,MATCH(I63,'Tasks'!$A$2:$A$224,0)),"BAD ID"))</x:f>
        <x:v>46318</x:v>
      </x:c>
      <x:c r="R63" s="14" t="n">
        <x:f>IF(J63="",0,IF(COUNTIFS('Tasks'!$A$2:$A$224,J63)=1,INDEX('Tasks'!$M$2:$M$224,MATCH(J63,'Tasks'!$A$2:$A$224,0)),"BAD ID"))</x:f>
        <x:v>0</x:v>
      </x:c>
      <x:c r="S63" s="14" t="n">
        <x:f>IF(K63="",0,IF(COUNTIFS('Tasks'!$A$2:$A$224,K63)=1,INDEX('Tasks'!$M$2:$M$224,MATCH(K63,'Tasks'!$A$2:$A$224,0)),"BAD ID"))</x:f>
        <x:v>0</x:v>
      </x:c>
      <x:c r="T63" s="14" t="n">
        <x:f>IF(L63="",0,IF(COUNTIFS('Tasks'!$A$2:$A$224,L63)=1,INDEX('Tasks'!$M$2:$M$224,MATCH(L63,'Tasks'!$A$2:$A$224,0)),"BAD ID"))</x:f>
        <x:v>0</x:v>
      </x:c>
      <x:c r="U63" s="14" t="n">
        <x:f>IF(M63="",0,IF(COUNTIFS('Tasks'!$A$2:$A$224,M63)=1,INDEX('Tasks'!$M$2:$M$224,MATCH(M63,'Tasks'!$A$2:$A$224,0)),"BAD ID"))</x:f>
        <x:v>0</x:v>
      </x:c>
      <x:c r="V63" s="14" t="n">
        <x:f>IF(N63="",0,IF(COUNTIFS('Tasks'!$A$2:$A$224,N63)=1,INDEX('Tasks'!$M$2:$M$224,MATCH(N63,'Tasks'!$A$2:$A$224,0)),"BAD ID"))</x:f>
        <x:v>0</x:v>
      </x:c>
      <x:c r="W63" s="14" t="n">
        <x:f>IF(O63="",0,IF(COUNTIFS('Tasks'!$A$2:$A$224,O63)=1,INDEX('Tasks'!$M$2:$M$224,MATCH(O63,'Tasks'!$A$2:$A$224,0)),"BAD ID"))</x:f>
        <x:v>0</x:v>
      </x:c>
    </x:row>
    <x:row r="64" ht="28" customHeight="1">
      <x:c r="A64" s="2" t="str">
        <x:v>G3-01</x:v>
      </x:c>
      <x:c r="B64" s="2" t="str">
        <x:f>IF(VLOOKUP(A64,'Tasks'!$A$2:$X$224,15,FALSE)="","",VLOOKUP(A64,'Tasks'!$A$2:$X$224,15,FALSE))</x:f>
        <x:v>TEST-08,TEST-09,TEST-10,TEST-15,TEST-16,TEST-17,TEST-22</x:v>
      </x:c>
      <x:c r="C64" s="13" t="n">
        <x:f>VLOOKUP(A64,'Tasks'!$A$2:$X$224,12,FALSE)</x:f>
        <x:v>46320</x:v>
      </x:c>
      <x:c r="D64" s="2" t="n">
        <x:f>IF(B64="",0,LEN(B64)-LEN(SUBSTITUTE(B64,",",""))+1)</x:f>
        <x:v>7</x:v>
      </x:c>
      <x:c r="E64" s="14" t="n">
        <x:f>MAX(P64:W64)</x:f>
        <x:v>46320</x:v>
      </x:c>
      <x:c r="F64" s="2" t="n">
        <x:f>COUNTIFS(P64:W64,"BAD ID")</x:f>
        <x:v>0</x:v>
      </x:c>
      <x:c r="G64" s="2" t="str">
        <x:f>IF(D64&gt;8,"TOO MANY",IF(F64&gt;0,"BAD ID",IF(C64&gt;=E64,"OK","LATE")))</x:f>
        <x:v>OK</x:v>
      </x:c>
      <x:c r="H64" s="2" t="str">
        <x:f>TRIM(MID(SUBSTITUTE($B64,",",REPT(" ",100)),1,100))</x:f>
        <x:v>TEST-08</x:v>
      </x:c>
      <x:c r="I64" s="2" t="str">
        <x:f>TRIM(MID(SUBSTITUTE($B64,",",REPT(" ",100)),101,100))</x:f>
        <x:v>TEST-09</x:v>
      </x:c>
      <x:c r="J64" s="2" t="str">
        <x:f>TRIM(MID(SUBSTITUTE($B64,",",REPT(" ",100)),201,100))</x:f>
        <x:v>TEST-10</x:v>
      </x:c>
      <x:c r="K64" s="2" t="str">
        <x:f>TRIM(MID(SUBSTITUTE($B64,",",REPT(" ",100)),301,100))</x:f>
        <x:v>TEST-15</x:v>
      </x:c>
      <x:c r="L64" s="2" t="str">
        <x:f>TRIM(MID(SUBSTITUTE($B64,",",REPT(" ",100)),401,100))</x:f>
        <x:v>TEST-16</x:v>
      </x:c>
      <x:c r="M64" s="2" t="str">
        <x:f>TRIM(MID(SUBSTITUTE($B64,",",REPT(" ",100)),501,100))</x:f>
        <x:v>TEST-17</x:v>
      </x:c>
      <x:c r="N64" s="2" t="str">
        <x:f>TRIM(MID(SUBSTITUTE($B64,",",REPT(" ",100)),601,100))</x:f>
        <x:v>TEST-22</x:v>
      </x:c>
      <x:c r="O64" s="2" t="str">
        <x:f>TRIM(MID(SUBSTITUTE($B64,",",REPT(" ",100)),701,100))</x:f>
      </x:c>
      <x:c r="P64" s="14" t="n">
        <x:f>IF(H64="",0,IF(COUNTIFS('Tasks'!$A$2:$A$224,H64)=1,INDEX('Tasks'!$M$2:$M$224,MATCH(H64,'Tasks'!$A$2:$A$224,0)),"BAD ID"))</x:f>
        <x:v>46319</x:v>
      </x:c>
      <x:c r="Q64" s="14" t="n">
        <x:f>IF(I64="",0,IF(COUNTIFS('Tasks'!$A$2:$A$224,I64)=1,INDEX('Tasks'!$M$2:$M$224,MATCH(I64,'Tasks'!$A$2:$A$224,0)),"BAD ID"))</x:f>
        <x:v>46319</x:v>
      </x:c>
      <x:c r="R64" s="14" t="n">
        <x:f>IF(J64="",0,IF(COUNTIFS('Tasks'!$A$2:$A$224,J64)=1,INDEX('Tasks'!$M$2:$M$224,MATCH(J64,'Tasks'!$A$2:$A$224,0)),"BAD ID"))</x:f>
        <x:v>46319</x:v>
      </x:c>
      <x:c r="S64" s="14" t="n">
        <x:f>IF(K64="",0,IF(COUNTIFS('Tasks'!$A$2:$A$224,K64)=1,INDEX('Tasks'!$M$2:$M$224,MATCH(K64,'Tasks'!$A$2:$A$224,0)),"BAD ID"))</x:f>
        <x:v>46319</x:v>
      </x:c>
      <x:c r="T64" s="14" t="n">
        <x:f>IF(L64="",0,IF(COUNTIFS('Tasks'!$A$2:$A$224,L64)=1,INDEX('Tasks'!$M$2:$M$224,MATCH(L64,'Tasks'!$A$2:$A$224,0)),"BAD ID"))</x:f>
        <x:v>46319</x:v>
      </x:c>
      <x:c r="U64" s="14" t="n">
        <x:f>IF(M64="",0,IF(COUNTIFS('Tasks'!$A$2:$A$224,M64)=1,INDEX('Tasks'!$M$2:$M$224,MATCH(M64,'Tasks'!$A$2:$A$224,0)),"BAD ID"))</x:f>
        <x:v>46320</x:v>
      </x:c>
      <x:c r="V64" s="14" t="n">
        <x:f>IF(N64="",0,IF(COUNTIFS('Tasks'!$A$2:$A$224,N64)=1,INDEX('Tasks'!$M$2:$M$224,MATCH(N64,'Tasks'!$A$2:$A$224,0)),"BAD ID"))</x:f>
        <x:v>46320</x:v>
      </x:c>
      <x:c r="W64" s="14" t="n">
        <x:f>IF(O64="",0,IF(COUNTIFS('Tasks'!$A$2:$A$224,O64)=1,INDEX('Tasks'!$M$2:$M$224,MATCH(O64,'Tasks'!$A$2:$A$224,0)),"BAD ID"))</x:f>
        <x:v>0</x:v>
      </x:c>
    </x:row>
    <x:row r="65" ht="28" customHeight="1">
      <x:c r="A65" s="2" t="str">
        <x:v>RV-07</x:v>
      </x:c>
      <x:c r="B65" s="2" t="str">
        <x:f>IF(VLOOKUP(A65,'Tasks'!$A$2:$X$224,15,FALSE)="","",VLOOKUP(A65,'Tasks'!$A$2:$X$224,15,FALSE))</x:f>
        <x:v>TEST-06</x:v>
      </x:c>
      <x:c r="C65" s="13" t="n">
        <x:f>VLOOKUP(A65,'Tasks'!$A$2:$X$224,12,FALSE)</x:f>
        <x:v>46319</x:v>
      </x:c>
      <x:c r="D65" s="2" t="n">
        <x:f>IF(B65="",0,LEN(B65)-LEN(SUBSTITUTE(B65,",",""))+1)</x:f>
        <x:v>1</x:v>
      </x:c>
      <x:c r="E65" s="14" t="n">
        <x:f>MAX(P65:W65)</x:f>
        <x:v>46318</x:v>
      </x:c>
      <x:c r="F65" s="2" t="n">
        <x:f>COUNTIFS(P65:W65,"BAD ID")</x:f>
        <x:v>0</x:v>
      </x:c>
      <x:c r="G65" s="2" t="str">
        <x:f>IF(D65&gt;8,"TOO MANY",IF(F65&gt;0,"BAD ID",IF(C65&gt;=E65,"OK","LATE")))</x:f>
        <x:v>OK</x:v>
      </x:c>
      <x:c r="H65" s="2" t="str">
        <x:f>TRIM(MID(SUBSTITUTE($B65,",",REPT(" ",100)),1,100))</x:f>
        <x:v>TEST-06</x:v>
      </x:c>
      <x:c r="I65" s="2" t="str">
        <x:f>TRIM(MID(SUBSTITUTE($B65,",",REPT(" ",100)),101,100))</x:f>
      </x:c>
      <x:c r="J65" s="2" t="str">
        <x:f>TRIM(MID(SUBSTITUTE($B65,",",REPT(" ",100)),201,100))</x:f>
      </x:c>
      <x:c r="K65" s="2" t="str">
        <x:f>TRIM(MID(SUBSTITUTE($B65,",",REPT(" ",100)),301,100))</x:f>
      </x:c>
      <x:c r="L65" s="2" t="str">
        <x:f>TRIM(MID(SUBSTITUTE($B65,",",REPT(" ",100)),401,100))</x:f>
      </x:c>
      <x:c r="M65" s="2" t="str">
        <x:f>TRIM(MID(SUBSTITUTE($B65,",",REPT(" ",100)),501,100))</x:f>
      </x:c>
      <x:c r="N65" s="2" t="str">
        <x:f>TRIM(MID(SUBSTITUTE($B65,",",REPT(" ",100)),601,100))</x:f>
      </x:c>
      <x:c r="O65" s="2" t="str">
        <x:f>TRIM(MID(SUBSTITUTE($B65,",",REPT(" ",100)),701,100))</x:f>
      </x:c>
      <x:c r="P65" s="14" t="n">
        <x:f>IF(H65="",0,IF(COUNTIFS('Tasks'!$A$2:$A$224,H65)=1,INDEX('Tasks'!$M$2:$M$224,MATCH(H65,'Tasks'!$A$2:$A$224,0)),"BAD ID"))</x:f>
        <x:v>46318</x:v>
      </x:c>
      <x:c r="Q65" s="14" t="n">
        <x:f>IF(I65="",0,IF(COUNTIFS('Tasks'!$A$2:$A$224,I65)=1,INDEX('Tasks'!$M$2:$M$224,MATCH(I65,'Tasks'!$A$2:$A$224,0)),"BAD ID"))</x:f>
        <x:v>0</x:v>
      </x:c>
      <x:c r="R65" s="14" t="n">
        <x:f>IF(J65="",0,IF(COUNTIFS('Tasks'!$A$2:$A$224,J65)=1,INDEX('Tasks'!$M$2:$M$224,MATCH(J65,'Tasks'!$A$2:$A$224,0)),"BAD ID"))</x:f>
        <x:v>0</x:v>
      </x:c>
      <x:c r="S65" s="14" t="n">
        <x:f>IF(K65="",0,IF(COUNTIFS('Tasks'!$A$2:$A$224,K65)=1,INDEX('Tasks'!$M$2:$M$224,MATCH(K65,'Tasks'!$A$2:$A$224,0)),"BAD ID"))</x:f>
        <x:v>0</x:v>
      </x:c>
      <x:c r="T65" s="14" t="n">
        <x:f>IF(L65="",0,IF(COUNTIFS('Tasks'!$A$2:$A$224,L65)=1,INDEX('Tasks'!$M$2:$M$224,MATCH(L65,'Tasks'!$A$2:$A$224,0)),"BAD ID"))</x:f>
        <x:v>0</x:v>
      </x:c>
      <x:c r="U65" s="14" t="n">
        <x:f>IF(M65="",0,IF(COUNTIFS('Tasks'!$A$2:$A$224,M65)=1,INDEX('Tasks'!$M$2:$M$224,MATCH(M65,'Tasks'!$A$2:$A$224,0)),"BAD ID"))</x:f>
        <x:v>0</x:v>
      </x:c>
      <x:c r="V65" s="14" t="n">
        <x:f>IF(N65="",0,IF(COUNTIFS('Tasks'!$A$2:$A$224,N65)=1,INDEX('Tasks'!$M$2:$M$224,MATCH(N65,'Tasks'!$A$2:$A$224,0)),"BAD ID"))</x:f>
        <x:v>0</x:v>
      </x:c>
      <x:c r="W65" s="14" t="n">
        <x:f>IF(O65="",0,IF(COUNTIFS('Tasks'!$A$2:$A$224,O65)=1,INDEX('Tasks'!$M$2:$M$224,MATCH(O65,'Tasks'!$A$2:$A$224,0)),"BAD ID"))</x:f>
        <x:v>0</x:v>
      </x:c>
    </x:row>
    <x:row r="66" ht="28" customHeight="1">
      <x:c r="A66" s="2" t="str">
        <x:v>RV-08</x:v>
      </x:c>
      <x:c r="B66" s="2" t="str">
        <x:f>IF(VLOOKUP(A66,'Tasks'!$A$2:$X$224,15,FALSE)="","",VLOOKUP(A66,'Tasks'!$A$2:$X$224,15,FALSE))</x:f>
        <x:v>BL-B-05,BL-B-07</x:v>
      </x:c>
      <x:c r="C66" s="13" t="n">
        <x:f>VLOOKUP(A66,'Tasks'!$A$2:$X$224,12,FALSE)</x:f>
        <x:v>46319</x:v>
      </x:c>
      <x:c r="D66" s="2" t="n">
        <x:f>IF(B66="",0,LEN(B66)-LEN(SUBSTITUTE(B66,",",""))+1)</x:f>
        <x:v>2</x:v>
      </x:c>
      <x:c r="E66" s="14" t="n">
        <x:f>MAX(P66:W66)</x:f>
        <x:v>46317</x:v>
      </x:c>
      <x:c r="F66" s="2" t="n">
        <x:f>COUNTIFS(P66:W66,"BAD ID")</x:f>
        <x:v>0</x:v>
      </x:c>
      <x:c r="G66" s="2" t="str">
        <x:f>IF(D66&gt;8,"TOO MANY",IF(F66&gt;0,"BAD ID",IF(C66&gt;=E66,"OK","LATE")))</x:f>
        <x:v>OK</x:v>
      </x:c>
      <x:c r="H66" s="2" t="str">
        <x:f>TRIM(MID(SUBSTITUTE($B66,",",REPT(" ",100)),1,100))</x:f>
        <x:v>BL-B-05</x:v>
      </x:c>
      <x:c r="I66" s="2" t="str">
        <x:f>TRIM(MID(SUBSTITUTE($B66,",",REPT(" ",100)),101,100))</x:f>
        <x:v>BL-B-07</x:v>
      </x:c>
      <x:c r="J66" s="2" t="str">
        <x:f>TRIM(MID(SUBSTITUTE($B66,",",REPT(" ",100)),201,100))</x:f>
      </x:c>
      <x:c r="K66" s="2" t="str">
        <x:f>TRIM(MID(SUBSTITUTE($B66,",",REPT(" ",100)),301,100))</x:f>
      </x:c>
      <x:c r="L66" s="2" t="str">
        <x:f>TRIM(MID(SUBSTITUTE($B66,",",REPT(" ",100)),401,100))</x:f>
      </x:c>
      <x:c r="M66" s="2" t="str">
        <x:f>TRIM(MID(SUBSTITUTE($B66,",",REPT(" ",100)),501,100))</x:f>
      </x:c>
      <x:c r="N66" s="2" t="str">
        <x:f>TRIM(MID(SUBSTITUTE($B66,",",REPT(" ",100)),601,100))</x:f>
      </x:c>
      <x:c r="O66" s="2" t="str">
        <x:f>TRIM(MID(SUBSTITUTE($B66,",",REPT(" ",100)),701,100))</x:f>
      </x:c>
      <x:c r="P66" s="14" t="n">
        <x:f>IF(H66="",0,IF(COUNTIFS('Tasks'!$A$2:$A$224,H66)=1,INDEX('Tasks'!$M$2:$M$224,MATCH(H66,'Tasks'!$A$2:$A$224,0)),"BAD ID"))</x:f>
        <x:v>46312</x:v>
      </x:c>
      <x:c r="Q66" s="14" t="n">
        <x:f>IF(I66="",0,IF(COUNTIFS('Tasks'!$A$2:$A$224,I66)=1,INDEX('Tasks'!$M$2:$M$224,MATCH(I66,'Tasks'!$A$2:$A$224,0)),"BAD ID"))</x:f>
        <x:v>46317</x:v>
      </x:c>
      <x:c r="R66" s="14" t="n">
        <x:f>IF(J66="",0,IF(COUNTIFS('Tasks'!$A$2:$A$224,J66)=1,INDEX('Tasks'!$M$2:$M$224,MATCH(J66,'Tasks'!$A$2:$A$224,0)),"BAD ID"))</x:f>
        <x:v>0</x:v>
      </x:c>
      <x:c r="S66" s="14" t="n">
        <x:f>IF(K66="",0,IF(COUNTIFS('Tasks'!$A$2:$A$224,K66)=1,INDEX('Tasks'!$M$2:$M$224,MATCH(K66,'Tasks'!$A$2:$A$224,0)),"BAD ID"))</x:f>
        <x:v>0</x:v>
      </x:c>
      <x:c r="T66" s="14" t="n">
        <x:f>IF(L66="",0,IF(COUNTIFS('Tasks'!$A$2:$A$224,L66)=1,INDEX('Tasks'!$M$2:$M$224,MATCH(L66,'Tasks'!$A$2:$A$224,0)),"BAD ID"))</x:f>
        <x:v>0</x:v>
      </x:c>
      <x:c r="U66" s="14" t="n">
        <x:f>IF(M66="",0,IF(COUNTIFS('Tasks'!$A$2:$A$224,M66)=1,INDEX('Tasks'!$M$2:$M$224,MATCH(M66,'Tasks'!$A$2:$A$224,0)),"BAD ID"))</x:f>
        <x:v>0</x:v>
      </x:c>
      <x:c r="V66" s="14" t="n">
        <x:f>IF(N66="",0,IF(COUNTIFS('Tasks'!$A$2:$A$224,N66)=1,INDEX('Tasks'!$M$2:$M$224,MATCH(N66,'Tasks'!$A$2:$A$224,0)),"BAD ID"))</x:f>
        <x:v>0</x:v>
      </x:c>
      <x:c r="W66" s="14" t="n">
        <x:f>IF(O66="",0,IF(COUNTIFS('Tasks'!$A$2:$A$224,O66)=1,INDEX('Tasks'!$M$2:$M$224,MATCH(O66,'Tasks'!$A$2:$A$224,0)),"BAD ID"))</x:f>
        <x:v>0</x:v>
      </x:c>
    </x:row>
    <x:row r="67" ht="28" customHeight="1">
      <x:c r="A67" s="2" t="str">
        <x:v>E1-01</x:v>
      </x:c>
      <x:c r="B67" s="2" t="str">
        <x:f>IF(VLOOKUP(A67,'Tasks'!$A$2:$X$224,15,FALSE)="","",VLOOKUP(A67,'Tasks'!$A$2:$X$224,15,FALSE))</x:f>
        <x:v>BL-D-06</x:v>
      </x:c>
      <x:c r="C67" s="13" t="n">
        <x:f>VLOOKUP(A67,'Tasks'!$A$2:$X$224,12,FALSE)</x:f>
        <x:v>46313</x:v>
      </x:c>
      <x:c r="D67" s="2" t="n">
        <x:f>IF(B67="",0,LEN(B67)-LEN(SUBSTITUTE(B67,",",""))+1)</x:f>
        <x:v>1</x:v>
      </x:c>
      <x:c r="E67" s="14" t="n">
        <x:f>MAX(P67:W67)</x:f>
        <x:v>46312</x:v>
      </x:c>
      <x:c r="F67" s="2" t="n">
        <x:f>COUNTIFS(P67:W67,"BAD ID")</x:f>
        <x:v>0</x:v>
      </x:c>
      <x:c r="G67" s="2" t="str">
        <x:f>IF(D67&gt;8,"TOO MANY",IF(F67&gt;0,"BAD ID",IF(C67&gt;=E67,"OK","LATE")))</x:f>
        <x:v>OK</x:v>
      </x:c>
      <x:c r="H67" s="2" t="str">
        <x:f>TRIM(MID(SUBSTITUTE($B67,",",REPT(" ",100)),1,100))</x:f>
        <x:v>BL-D-06</x:v>
      </x:c>
      <x:c r="I67" s="2" t="str">
        <x:f>TRIM(MID(SUBSTITUTE($B67,",",REPT(" ",100)),101,100))</x:f>
      </x:c>
      <x:c r="J67" s="2" t="str">
        <x:f>TRIM(MID(SUBSTITUTE($B67,",",REPT(" ",100)),201,100))</x:f>
      </x:c>
      <x:c r="K67" s="2" t="str">
        <x:f>TRIM(MID(SUBSTITUTE($B67,",",REPT(" ",100)),301,100))</x:f>
      </x:c>
      <x:c r="L67" s="2" t="str">
        <x:f>TRIM(MID(SUBSTITUTE($B67,",",REPT(" ",100)),401,100))</x:f>
      </x:c>
      <x:c r="M67" s="2" t="str">
        <x:f>TRIM(MID(SUBSTITUTE($B67,",",REPT(" ",100)),501,100))</x:f>
      </x:c>
      <x:c r="N67" s="2" t="str">
        <x:f>TRIM(MID(SUBSTITUTE($B67,",",REPT(" ",100)),601,100))</x:f>
      </x:c>
      <x:c r="O67" s="2" t="str">
        <x:f>TRIM(MID(SUBSTITUTE($B67,",",REPT(" ",100)),701,100))</x:f>
      </x:c>
      <x:c r="P67" s="14" t="n">
        <x:f>IF(H67="",0,IF(COUNTIFS('Tasks'!$A$2:$A$224,H67)=1,INDEX('Tasks'!$M$2:$M$224,MATCH(H67,'Tasks'!$A$2:$A$224,0)),"BAD ID"))</x:f>
        <x:v>46312</x:v>
      </x:c>
      <x:c r="Q67" s="14" t="n">
        <x:f>IF(I67="",0,IF(COUNTIFS('Tasks'!$A$2:$A$224,I67)=1,INDEX('Tasks'!$M$2:$M$224,MATCH(I67,'Tasks'!$A$2:$A$224,0)),"BAD ID"))</x:f>
        <x:v>0</x:v>
      </x:c>
      <x:c r="R67" s="14" t="n">
        <x:f>IF(J67="",0,IF(COUNTIFS('Tasks'!$A$2:$A$224,J67)=1,INDEX('Tasks'!$M$2:$M$224,MATCH(J67,'Tasks'!$A$2:$A$224,0)),"BAD ID"))</x:f>
        <x:v>0</x:v>
      </x:c>
      <x:c r="S67" s="14" t="n">
        <x:f>IF(K67="",0,IF(COUNTIFS('Tasks'!$A$2:$A$224,K67)=1,INDEX('Tasks'!$M$2:$M$224,MATCH(K67,'Tasks'!$A$2:$A$224,0)),"BAD ID"))</x:f>
        <x:v>0</x:v>
      </x:c>
      <x:c r="T67" s="14" t="n">
        <x:f>IF(L67="",0,IF(COUNTIFS('Tasks'!$A$2:$A$224,L67)=1,INDEX('Tasks'!$M$2:$M$224,MATCH(L67,'Tasks'!$A$2:$A$224,0)),"BAD ID"))</x:f>
        <x:v>0</x:v>
      </x:c>
      <x:c r="U67" s="14" t="n">
        <x:f>IF(M67="",0,IF(COUNTIFS('Tasks'!$A$2:$A$224,M67)=1,INDEX('Tasks'!$M$2:$M$224,MATCH(M67,'Tasks'!$A$2:$A$224,0)),"BAD ID"))</x:f>
        <x:v>0</x:v>
      </x:c>
      <x:c r="V67" s="14" t="n">
        <x:f>IF(N67="",0,IF(COUNTIFS('Tasks'!$A$2:$A$224,N67)=1,INDEX('Tasks'!$M$2:$M$224,MATCH(N67,'Tasks'!$A$2:$A$224,0)),"BAD ID"))</x:f>
        <x:v>0</x:v>
      </x:c>
      <x:c r="W67" s="14" t="n">
        <x:f>IF(O67="",0,IF(COUNTIFS('Tasks'!$A$2:$A$224,O67)=1,INDEX('Tasks'!$M$2:$M$224,MATCH(O67,'Tasks'!$A$2:$A$224,0)),"BAD ID"))</x:f>
        <x:v>0</x:v>
      </x:c>
    </x:row>
    <x:row r="68" ht="28" customHeight="1">
      <x:c r="A68" s="2" t="str">
        <x:v>E1-02</x:v>
      </x:c>
      <x:c r="B68" s="2" t="str">
        <x:f>IF(VLOOKUP(A68,'Tasks'!$A$2:$X$224,15,FALSE)="","",VLOOKUP(A68,'Tasks'!$A$2:$X$224,15,FALSE))</x:f>
        <x:v>E1-01,BL-B-06</x:v>
      </x:c>
      <x:c r="C68" s="13" t="n">
        <x:f>VLOOKUP(A68,'Tasks'!$A$2:$X$224,12,FALSE)</x:f>
        <x:v>46315</x:v>
      </x:c>
      <x:c r="D68" s="2" t="n">
        <x:f>IF(B68="",0,LEN(B68)-LEN(SUBSTITUTE(B68,",",""))+1)</x:f>
        <x:v>2</x:v>
      </x:c>
      <x:c r="E68" s="14" t="n">
        <x:f>MAX(P68:W68)</x:f>
        <x:v>46314</x:v>
      </x:c>
      <x:c r="F68" s="2" t="n">
        <x:f>COUNTIFS(P68:W68,"BAD ID")</x:f>
        <x:v>0</x:v>
      </x:c>
      <x:c r="G68" s="2" t="str">
        <x:f>IF(D68&gt;8,"TOO MANY",IF(F68&gt;0,"BAD ID",IF(C68&gt;=E68,"OK","LATE")))</x:f>
        <x:v>OK</x:v>
      </x:c>
      <x:c r="H68" s="2" t="str">
        <x:f>TRIM(MID(SUBSTITUTE($B68,",",REPT(" ",100)),1,100))</x:f>
        <x:v>E1-01</x:v>
      </x:c>
      <x:c r="I68" s="2" t="str">
        <x:f>TRIM(MID(SUBSTITUTE($B68,",",REPT(" ",100)),101,100))</x:f>
        <x:v>BL-B-06</x:v>
      </x:c>
      <x:c r="J68" s="2" t="str">
        <x:f>TRIM(MID(SUBSTITUTE($B68,",",REPT(" ",100)),201,100))</x:f>
      </x:c>
      <x:c r="K68" s="2" t="str">
        <x:f>TRIM(MID(SUBSTITUTE($B68,",",REPT(" ",100)),301,100))</x:f>
      </x:c>
      <x:c r="L68" s="2" t="str">
        <x:f>TRIM(MID(SUBSTITUTE($B68,",",REPT(" ",100)),401,100))</x:f>
      </x:c>
      <x:c r="M68" s="2" t="str">
        <x:f>TRIM(MID(SUBSTITUTE($B68,",",REPT(" ",100)),501,100))</x:f>
      </x:c>
      <x:c r="N68" s="2" t="str">
        <x:f>TRIM(MID(SUBSTITUTE($B68,",",REPT(" ",100)),601,100))</x:f>
      </x:c>
      <x:c r="O68" s="2" t="str">
        <x:f>TRIM(MID(SUBSTITUTE($B68,",",REPT(" ",100)),701,100))</x:f>
      </x:c>
      <x:c r="P68" s="14" t="n">
        <x:f>IF(H68="",0,IF(COUNTIFS('Tasks'!$A$2:$A$224,H68)=1,INDEX('Tasks'!$M$2:$M$224,MATCH(H68,'Tasks'!$A$2:$A$224,0)),"BAD ID"))</x:f>
        <x:v>46313</x:v>
      </x:c>
      <x:c r="Q68" s="14" t="n">
        <x:f>IF(I68="",0,IF(COUNTIFS('Tasks'!$A$2:$A$224,I68)=1,INDEX('Tasks'!$M$2:$M$224,MATCH(I68,'Tasks'!$A$2:$A$224,0)),"BAD ID"))</x:f>
        <x:v>46314</x:v>
      </x:c>
      <x:c r="R68" s="14" t="n">
        <x:f>IF(J68="",0,IF(COUNTIFS('Tasks'!$A$2:$A$224,J68)=1,INDEX('Tasks'!$M$2:$M$224,MATCH(J68,'Tasks'!$A$2:$A$224,0)),"BAD ID"))</x:f>
        <x:v>0</x:v>
      </x:c>
      <x:c r="S68" s="14" t="n">
        <x:f>IF(K68="",0,IF(COUNTIFS('Tasks'!$A$2:$A$224,K68)=1,INDEX('Tasks'!$M$2:$M$224,MATCH(K68,'Tasks'!$A$2:$A$224,0)),"BAD ID"))</x:f>
        <x:v>0</x:v>
      </x:c>
      <x:c r="T68" s="14" t="n">
        <x:f>IF(L68="",0,IF(COUNTIFS('Tasks'!$A$2:$A$224,L68)=1,INDEX('Tasks'!$M$2:$M$224,MATCH(L68,'Tasks'!$A$2:$A$224,0)),"BAD ID"))</x:f>
        <x:v>0</x:v>
      </x:c>
      <x:c r="U68" s="14" t="n">
        <x:f>IF(M68="",0,IF(COUNTIFS('Tasks'!$A$2:$A$224,M68)=1,INDEX('Tasks'!$M$2:$M$224,MATCH(M68,'Tasks'!$A$2:$A$224,0)),"BAD ID"))</x:f>
        <x:v>0</x:v>
      </x:c>
      <x:c r="V68" s="14" t="n">
        <x:f>IF(N68="",0,IF(COUNTIFS('Tasks'!$A$2:$A$224,N68)=1,INDEX('Tasks'!$M$2:$M$224,MATCH(N68,'Tasks'!$A$2:$A$224,0)),"BAD ID"))</x:f>
        <x:v>0</x:v>
      </x:c>
      <x:c r="W68" s="14" t="n">
        <x:f>IF(O68="",0,IF(COUNTIFS('Tasks'!$A$2:$A$224,O68)=1,INDEX('Tasks'!$M$2:$M$224,MATCH(O68,'Tasks'!$A$2:$A$224,0)),"BAD ID"))</x:f>
        <x:v>0</x:v>
      </x:c>
    </x:row>
    <x:row r="69" ht="28" customHeight="1">
      <x:c r="A69" s="2" t="str">
        <x:v>E1-03</x:v>
      </x:c>
      <x:c r="B69" s="2" t="str">
        <x:f>IF(VLOOKUP(A69,'Tasks'!$A$2:$X$224,15,FALSE)="","",VLOOKUP(A69,'Tasks'!$A$2:$X$224,15,FALSE))</x:f>
        <x:v>E1-02,TEST-09</x:v>
      </x:c>
      <x:c r="C69" s="13" t="n">
        <x:f>VLOOKUP(A69,'Tasks'!$A$2:$X$224,12,FALSE)</x:f>
        <x:v>46319</x:v>
      </x:c>
      <x:c r="D69" s="2" t="n">
        <x:f>IF(B69="",0,LEN(B69)-LEN(SUBSTITUTE(B69,",",""))+1)</x:f>
        <x:v>2</x:v>
      </x:c>
      <x:c r="E69" s="14" t="n">
        <x:f>MAX(P69:W69)</x:f>
        <x:v>46319</x:v>
      </x:c>
      <x:c r="F69" s="2" t="n">
        <x:f>COUNTIFS(P69:W69,"BAD ID")</x:f>
        <x:v>0</x:v>
      </x:c>
      <x:c r="G69" s="2" t="str">
        <x:f>IF(D69&gt;8,"TOO MANY",IF(F69&gt;0,"BAD ID",IF(C69&gt;=E69,"OK","LATE")))</x:f>
        <x:v>OK</x:v>
      </x:c>
      <x:c r="H69" s="2" t="str">
        <x:f>TRIM(MID(SUBSTITUTE($B69,",",REPT(" ",100)),1,100))</x:f>
        <x:v>E1-02</x:v>
      </x:c>
      <x:c r="I69" s="2" t="str">
        <x:f>TRIM(MID(SUBSTITUTE($B69,",",REPT(" ",100)),101,100))</x:f>
        <x:v>TEST-09</x:v>
      </x:c>
      <x:c r="J69" s="2" t="str">
        <x:f>TRIM(MID(SUBSTITUTE($B69,",",REPT(" ",100)),201,100))</x:f>
      </x:c>
      <x:c r="K69" s="2" t="str">
        <x:f>TRIM(MID(SUBSTITUTE($B69,",",REPT(" ",100)),301,100))</x:f>
      </x:c>
      <x:c r="L69" s="2" t="str">
        <x:f>TRIM(MID(SUBSTITUTE($B69,",",REPT(" ",100)),401,100))</x:f>
      </x:c>
      <x:c r="M69" s="2" t="str">
        <x:f>TRIM(MID(SUBSTITUTE($B69,",",REPT(" ",100)),501,100))</x:f>
      </x:c>
      <x:c r="N69" s="2" t="str">
        <x:f>TRIM(MID(SUBSTITUTE($B69,",",REPT(" ",100)),601,100))</x:f>
      </x:c>
      <x:c r="O69" s="2" t="str">
        <x:f>TRIM(MID(SUBSTITUTE($B69,",",REPT(" ",100)),701,100))</x:f>
      </x:c>
      <x:c r="P69" s="14" t="n">
        <x:f>IF(H69="",0,IF(COUNTIFS('Tasks'!$A$2:$A$224,H69)=1,INDEX('Tasks'!$M$2:$M$224,MATCH(H69,'Tasks'!$A$2:$A$224,0)),"BAD ID"))</x:f>
        <x:v>46315</x:v>
      </x:c>
      <x:c r="Q69" s="14" t="n">
        <x:f>IF(I69="",0,IF(COUNTIFS('Tasks'!$A$2:$A$224,I69)=1,INDEX('Tasks'!$M$2:$M$224,MATCH(I69,'Tasks'!$A$2:$A$224,0)),"BAD ID"))</x:f>
        <x:v>46319</x:v>
      </x:c>
      <x:c r="R69" s="14" t="n">
        <x:f>IF(J69="",0,IF(COUNTIFS('Tasks'!$A$2:$A$224,J69)=1,INDEX('Tasks'!$M$2:$M$224,MATCH(J69,'Tasks'!$A$2:$A$224,0)),"BAD ID"))</x:f>
        <x:v>0</x:v>
      </x:c>
      <x:c r="S69" s="14" t="n">
        <x:f>IF(K69="",0,IF(COUNTIFS('Tasks'!$A$2:$A$224,K69)=1,INDEX('Tasks'!$M$2:$M$224,MATCH(K69,'Tasks'!$A$2:$A$224,0)),"BAD ID"))</x:f>
        <x:v>0</x:v>
      </x:c>
      <x:c r="T69" s="14" t="n">
        <x:f>IF(L69="",0,IF(COUNTIFS('Tasks'!$A$2:$A$224,L69)=1,INDEX('Tasks'!$M$2:$M$224,MATCH(L69,'Tasks'!$A$2:$A$224,0)),"BAD ID"))</x:f>
        <x:v>0</x:v>
      </x:c>
      <x:c r="U69" s="14" t="n">
        <x:f>IF(M69="",0,IF(COUNTIFS('Tasks'!$A$2:$A$224,M69)=1,INDEX('Tasks'!$M$2:$M$224,MATCH(M69,'Tasks'!$A$2:$A$224,0)),"BAD ID"))</x:f>
        <x:v>0</x:v>
      </x:c>
      <x:c r="V69" s="14" t="n">
        <x:f>IF(N69="",0,IF(COUNTIFS('Tasks'!$A$2:$A$224,N69)=1,INDEX('Tasks'!$M$2:$M$224,MATCH(N69,'Tasks'!$A$2:$A$224,0)),"BAD ID"))</x:f>
        <x:v>0</x:v>
      </x:c>
      <x:c r="W69" s="14" t="n">
        <x:f>IF(O69="",0,IF(COUNTIFS('Tasks'!$A$2:$A$224,O69)=1,INDEX('Tasks'!$M$2:$M$224,MATCH(O69,'Tasks'!$A$2:$A$224,0)),"BAD ID"))</x:f>
        <x:v>0</x:v>
      </x:c>
    </x:row>
    <x:row r="70" ht="28" customHeight="1">
      <x:c r="A70" s="2" t="str">
        <x:v>E1-04</x:v>
      </x:c>
      <x:c r="B70" s="2" t="str">
        <x:f>IF(VLOOKUP(A70,'Tasks'!$A$2:$X$224,15,FALSE)="","",VLOOKUP(A70,'Tasks'!$A$2:$X$224,15,FALSE))</x:f>
        <x:v>G3-01,E1-02,E1-03</x:v>
      </x:c>
      <x:c r="C70" s="13" t="n">
        <x:f>VLOOKUP(A70,'Tasks'!$A$2:$X$224,12,FALSE)</x:f>
        <x:v>46321</x:v>
      </x:c>
      <x:c r="D70" s="2" t="n">
        <x:f>IF(B70="",0,LEN(B70)-LEN(SUBSTITUTE(B70,",",""))+1)</x:f>
        <x:v>3</x:v>
      </x:c>
      <x:c r="E70" s="14" t="n">
        <x:f>MAX(P70:W70)</x:f>
        <x:v>46320</x:v>
      </x:c>
      <x:c r="F70" s="2" t="n">
        <x:f>COUNTIFS(P70:W70,"BAD ID")</x:f>
        <x:v>0</x:v>
      </x:c>
      <x:c r="G70" s="2" t="str">
        <x:f>IF(D70&gt;8,"TOO MANY",IF(F70&gt;0,"BAD ID",IF(C70&gt;=E70,"OK","LATE")))</x:f>
        <x:v>OK</x:v>
      </x:c>
      <x:c r="H70" s="2" t="str">
        <x:f>TRIM(MID(SUBSTITUTE($B70,",",REPT(" ",100)),1,100))</x:f>
        <x:v>G3-01</x:v>
      </x:c>
      <x:c r="I70" s="2" t="str">
        <x:f>TRIM(MID(SUBSTITUTE($B70,",",REPT(" ",100)),101,100))</x:f>
        <x:v>E1-02</x:v>
      </x:c>
      <x:c r="J70" s="2" t="str">
        <x:f>TRIM(MID(SUBSTITUTE($B70,",",REPT(" ",100)),201,100))</x:f>
        <x:v>E1-03</x:v>
      </x:c>
      <x:c r="K70" s="2" t="str">
        <x:f>TRIM(MID(SUBSTITUTE($B70,",",REPT(" ",100)),301,100))</x:f>
      </x:c>
      <x:c r="L70" s="2" t="str">
        <x:f>TRIM(MID(SUBSTITUTE($B70,",",REPT(" ",100)),401,100))</x:f>
      </x:c>
      <x:c r="M70" s="2" t="str">
        <x:f>TRIM(MID(SUBSTITUTE($B70,",",REPT(" ",100)),501,100))</x:f>
      </x:c>
      <x:c r="N70" s="2" t="str">
        <x:f>TRIM(MID(SUBSTITUTE($B70,",",REPT(" ",100)),601,100))</x:f>
      </x:c>
      <x:c r="O70" s="2" t="str">
        <x:f>TRIM(MID(SUBSTITUTE($B70,",",REPT(" ",100)),701,100))</x:f>
      </x:c>
      <x:c r="P70" s="14" t="n">
        <x:f>IF(H70="",0,IF(COUNTIFS('Tasks'!$A$2:$A$224,H70)=1,INDEX('Tasks'!$M$2:$M$224,MATCH(H70,'Tasks'!$A$2:$A$224,0)),"BAD ID"))</x:f>
        <x:v>46320</x:v>
      </x:c>
      <x:c r="Q70" s="14" t="n">
        <x:f>IF(I70="",0,IF(COUNTIFS('Tasks'!$A$2:$A$224,I70)=1,INDEX('Tasks'!$M$2:$M$224,MATCH(I70,'Tasks'!$A$2:$A$224,0)),"BAD ID"))</x:f>
        <x:v>46315</x:v>
      </x:c>
      <x:c r="R70" s="14" t="n">
        <x:f>IF(J70="",0,IF(COUNTIFS('Tasks'!$A$2:$A$224,J70)=1,INDEX('Tasks'!$M$2:$M$224,MATCH(J70,'Tasks'!$A$2:$A$224,0)),"BAD ID"))</x:f>
        <x:v>46319</x:v>
      </x:c>
      <x:c r="S70" s="14" t="n">
        <x:f>IF(K70="",0,IF(COUNTIFS('Tasks'!$A$2:$A$224,K70)=1,INDEX('Tasks'!$M$2:$M$224,MATCH(K70,'Tasks'!$A$2:$A$224,0)),"BAD ID"))</x:f>
        <x:v>0</x:v>
      </x:c>
      <x:c r="T70" s="14" t="n">
        <x:f>IF(L70="",0,IF(COUNTIFS('Tasks'!$A$2:$A$224,L70)=1,INDEX('Tasks'!$M$2:$M$224,MATCH(L70,'Tasks'!$A$2:$A$224,0)),"BAD ID"))</x:f>
        <x:v>0</x:v>
      </x:c>
      <x:c r="U70" s="14" t="n">
        <x:f>IF(M70="",0,IF(COUNTIFS('Tasks'!$A$2:$A$224,M70)=1,INDEX('Tasks'!$M$2:$M$224,MATCH(M70,'Tasks'!$A$2:$A$224,0)),"BAD ID"))</x:f>
        <x:v>0</x:v>
      </x:c>
      <x:c r="V70" s="14" t="n">
        <x:f>IF(N70="",0,IF(COUNTIFS('Tasks'!$A$2:$A$224,N70)=1,INDEX('Tasks'!$M$2:$M$224,MATCH(N70,'Tasks'!$A$2:$A$224,0)),"BAD ID"))</x:f>
        <x:v>0</x:v>
      </x:c>
      <x:c r="W70" s="14" t="n">
        <x:f>IF(O70="",0,IF(COUNTIFS('Tasks'!$A$2:$A$224,O70)=1,INDEX('Tasks'!$M$2:$M$224,MATCH(O70,'Tasks'!$A$2:$A$224,0)),"BAD ID"))</x:f>
        <x:v>0</x:v>
      </x:c>
    </x:row>
    <x:row r="71" ht="28" customHeight="1">
      <x:c r="A71" s="2" t="str">
        <x:v>E1-05</x:v>
      </x:c>
      <x:c r="B71" s="2" t="str">
        <x:f>IF(VLOOKUP(A71,'Tasks'!$A$2:$X$224,15,FALSE)="","",VLOOKUP(A71,'Tasks'!$A$2:$X$224,15,FALSE))</x:f>
        <x:v>E1-04</x:v>
      </x:c>
      <x:c r="C71" s="13" t="n">
        <x:f>VLOOKUP(A71,'Tasks'!$A$2:$X$224,12,FALSE)</x:f>
        <x:v>46322</x:v>
      </x:c>
      <x:c r="D71" s="2" t="n">
        <x:f>IF(B71="",0,LEN(B71)-LEN(SUBSTITUTE(B71,",",""))+1)</x:f>
        <x:v>1</x:v>
      </x:c>
      <x:c r="E71" s="14" t="n">
        <x:f>MAX(P71:W71)</x:f>
        <x:v>46321</x:v>
      </x:c>
      <x:c r="F71" s="2" t="n">
        <x:f>COUNTIFS(P71:W71,"BAD ID")</x:f>
        <x:v>0</x:v>
      </x:c>
      <x:c r="G71" s="2" t="str">
        <x:f>IF(D71&gt;8,"TOO MANY",IF(F71&gt;0,"BAD ID",IF(C71&gt;=E71,"OK","LATE")))</x:f>
        <x:v>OK</x:v>
      </x:c>
      <x:c r="H71" s="2" t="str">
        <x:f>TRIM(MID(SUBSTITUTE($B71,",",REPT(" ",100)),1,100))</x:f>
        <x:v>E1-04</x:v>
      </x:c>
      <x:c r="I71" s="2" t="str">
        <x:f>TRIM(MID(SUBSTITUTE($B71,",",REPT(" ",100)),101,100))</x:f>
      </x:c>
      <x:c r="J71" s="2" t="str">
        <x:f>TRIM(MID(SUBSTITUTE($B71,",",REPT(" ",100)),201,100))</x:f>
      </x:c>
      <x:c r="K71" s="2" t="str">
        <x:f>TRIM(MID(SUBSTITUTE($B71,",",REPT(" ",100)),301,100))</x:f>
      </x:c>
      <x:c r="L71" s="2" t="str">
        <x:f>TRIM(MID(SUBSTITUTE($B71,",",REPT(" ",100)),401,100))</x:f>
      </x:c>
      <x:c r="M71" s="2" t="str">
        <x:f>TRIM(MID(SUBSTITUTE($B71,",",REPT(" ",100)),501,100))</x:f>
      </x:c>
      <x:c r="N71" s="2" t="str">
        <x:f>TRIM(MID(SUBSTITUTE($B71,",",REPT(" ",100)),601,100))</x:f>
      </x:c>
      <x:c r="O71" s="2" t="str">
        <x:f>TRIM(MID(SUBSTITUTE($B71,",",REPT(" ",100)),701,100))</x:f>
      </x:c>
      <x:c r="P71" s="14" t="n">
        <x:f>IF(H71="",0,IF(COUNTIFS('Tasks'!$A$2:$A$224,H71)=1,INDEX('Tasks'!$M$2:$M$224,MATCH(H71,'Tasks'!$A$2:$A$224,0)),"BAD ID"))</x:f>
        <x:v>46321</x:v>
      </x:c>
      <x:c r="Q71" s="14" t="n">
        <x:f>IF(I71="",0,IF(COUNTIFS('Tasks'!$A$2:$A$224,I71)=1,INDEX('Tasks'!$M$2:$M$224,MATCH(I71,'Tasks'!$A$2:$A$224,0)),"BAD ID"))</x:f>
        <x:v>0</x:v>
      </x:c>
      <x:c r="R71" s="14" t="n">
        <x:f>IF(J71="",0,IF(COUNTIFS('Tasks'!$A$2:$A$224,J71)=1,INDEX('Tasks'!$M$2:$M$224,MATCH(J71,'Tasks'!$A$2:$A$224,0)),"BAD ID"))</x:f>
        <x:v>0</x:v>
      </x:c>
      <x:c r="S71" s="14" t="n">
        <x:f>IF(K71="",0,IF(COUNTIFS('Tasks'!$A$2:$A$224,K71)=1,INDEX('Tasks'!$M$2:$M$224,MATCH(K71,'Tasks'!$A$2:$A$224,0)),"BAD ID"))</x:f>
        <x:v>0</x:v>
      </x:c>
      <x:c r="T71" s="14" t="n">
        <x:f>IF(L71="",0,IF(COUNTIFS('Tasks'!$A$2:$A$224,L71)=1,INDEX('Tasks'!$M$2:$M$224,MATCH(L71,'Tasks'!$A$2:$A$224,0)),"BAD ID"))</x:f>
        <x:v>0</x:v>
      </x:c>
      <x:c r="U71" s="14" t="n">
        <x:f>IF(M71="",0,IF(COUNTIFS('Tasks'!$A$2:$A$224,M71)=1,INDEX('Tasks'!$M$2:$M$224,MATCH(M71,'Tasks'!$A$2:$A$224,0)),"BAD ID"))</x:f>
        <x:v>0</x:v>
      </x:c>
      <x:c r="V71" s="14" t="n">
        <x:f>IF(N71="",0,IF(COUNTIFS('Tasks'!$A$2:$A$224,N71)=1,INDEX('Tasks'!$M$2:$M$224,MATCH(N71,'Tasks'!$A$2:$A$224,0)),"BAD ID"))</x:f>
        <x:v>0</x:v>
      </x:c>
      <x:c r="W71" s="14" t="n">
        <x:f>IF(O71="",0,IF(COUNTIFS('Tasks'!$A$2:$A$224,O71)=1,INDEX('Tasks'!$M$2:$M$224,MATCH(O71,'Tasks'!$A$2:$A$224,0)),"BAD ID"))</x:f>
        <x:v>0</x:v>
      </x:c>
    </x:row>
    <x:row r="72" ht="28" customHeight="1">
      <x:c r="A72" s="2" t="str">
        <x:v>E2-01</x:v>
      </x:c>
      <x:c r="B72" s="2" t="str">
        <x:f>IF(VLOOKUP(A72,'Tasks'!$A$2:$X$224,15,FALSE)="","",VLOOKUP(A72,'Tasks'!$A$2:$X$224,15,FALSE))</x:f>
        <x:v>BL-B-02,BL-C-01</x:v>
      </x:c>
      <x:c r="C72" s="13" t="n">
        <x:f>VLOOKUP(A72,'Tasks'!$A$2:$X$224,12,FALSE)</x:f>
        <x:v>46312</x:v>
      </x:c>
      <x:c r="D72" s="2" t="n">
        <x:f>IF(B72="",0,LEN(B72)-LEN(SUBSTITUTE(B72,",",""))+1)</x:f>
        <x:v>2</x:v>
      </x:c>
      <x:c r="E72" s="14" t="n">
        <x:f>MAX(P72:W72)</x:f>
        <x:v>46309</x:v>
      </x:c>
      <x:c r="F72" s="2" t="n">
        <x:f>COUNTIFS(P72:W72,"BAD ID")</x:f>
        <x:v>0</x:v>
      </x:c>
      <x:c r="G72" s="2" t="str">
        <x:f>IF(D72&gt;8,"TOO MANY",IF(F72&gt;0,"BAD ID",IF(C72&gt;=E72,"OK","LATE")))</x:f>
        <x:v>OK</x:v>
      </x:c>
      <x:c r="H72" s="2" t="str">
        <x:f>TRIM(MID(SUBSTITUTE($B72,",",REPT(" ",100)),1,100))</x:f>
        <x:v>BL-B-02</x:v>
      </x:c>
      <x:c r="I72" s="2" t="str">
        <x:f>TRIM(MID(SUBSTITUTE($B72,",",REPT(" ",100)),101,100))</x:f>
        <x:v>BL-C-01</x:v>
      </x:c>
      <x:c r="J72" s="2" t="str">
        <x:f>TRIM(MID(SUBSTITUTE($B72,",",REPT(" ",100)),201,100))</x:f>
      </x:c>
      <x:c r="K72" s="2" t="str">
        <x:f>TRIM(MID(SUBSTITUTE($B72,",",REPT(" ",100)),301,100))</x:f>
      </x:c>
      <x:c r="L72" s="2" t="str">
        <x:f>TRIM(MID(SUBSTITUTE($B72,",",REPT(" ",100)),401,100))</x:f>
      </x:c>
      <x:c r="M72" s="2" t="str">
        <x:f>TRIM(MID(SUBSTITUTE($B72,",",REPT(" ",100)),501,100))</x:f>
      </x:c>
      <x:c r="N72" s="2" t="str">
        <x:f>TRIM(MID(SUBSTITUTE($B72,",",REPT(" ",100)),601,100))</x:f>
      </x:c>
      <x:c r="O72" s="2" t="str">
        <x:f>TRIM(MID(SUBSTITUTE($B72,",",REPT(" ",100)),701,100))</x:f>
      </x:c>
      <x:c r="P72" s="14" t="n">
        <x:f>IF(H72="",0,IF(COUNTIFS('Tasks'!$A$2:$A$224,H72)=1,INDEX('Tasks'!$M$2:$M$224,MATCH(H72,'Tasks'!$A$2:$A$224,0)),"BAD ID"))</x:f>
        <x:v>46309</x:v>
      </x:c>
      <x:c r="Q72" s="14" t="n">
        <x:f>IF(I72="",0,IF(COUNTIFS('Tasks'!$A$2:$A$224,I72)=1,INDEX('Tasks'!$M$2:$M$224,MATCH(I72,'Tasks'!$A$2:$A$224,0)),"BAD ID"))</x:f>
        <x:v>46307</x:v>
      </x:c>
      <x:c r="R72" s="14" t="n">
        <x:f>IF(J72="",0,IF(COUNTIFS('Tasks'!$A$2:$A$224,J72)=1,INDEX('Tasks'!$M$2:$M$224,MATCH(J72,'Tasks'!$A$2:$A$224,0)),"BAD ID"))</x:f>
        <x:v>0</x:v>
      </x:c>
      <x:c r="S72" s="14" t="n">
        <x:f>IF(K72="",0,IF(COUNTIFS('Tasks'!$A$2:$A$224,K72)=1,INDEX('Tasks'!$M$2:$M$224,MATCH(K72,'Tasks'!$A$2:$A$224,0)),"BAD ID"))</x:f>
        <x:v>0</x:v>
      </x:c>
      <x:c r="T72" s="14" t="n">
        <x:f>IF(L72="",0,IF(COUNTIFS('Tasks'!$A$2:$A$224,L72)=1,INDEX('Tasks'!$M$2:$M$224,MATCH(L72,'Tasks'!$A$2:$A$224,0)),"BAD ID"))</x:f>
        <x:v>0</x:v>
      </x:c>
      <x:c r="U72" s="14" t="n">
        <x:f>IF(M72="",0,IF(COUNTIFS('Tasks'!$A$2:$A$224,M72)=1,INDEX('Tasks'!$M$2:$M$224,MATCH(M72,'Tasks'!$A$2:$A$224,0)),"BAD ID"))</x:f>
        <x:v>0</x:v>
      </x:c>
      <x:c r="V72" s="14" t="n">
        <x:f>IF(N72="",0,IF(COUNTIFS('Tasks'!$A$2:$A$224,N72)=1,INDEX('Tasks'!$M$2:$M$224,MATCH(N72,'Tasks'!$A$2:$A$224,0)),"BAD ID"))</x:f>
        <x:v>0</x:v>
      </x:c>
      <x:c r="W72" s="14" t="n">
        <x:f>IF(O72="",0,IF(COUNTIFS('Tasks'!$A$2:$A$224,O72)=1,INDEX('Tasks'!$M$2:$M$224,MATCH(O72,'Tasks'!$A$2:$A$224,0)),"BAD ID"))</x:f>
        <x:v>0</x:v>
      </x:c>
    </x:row>
    <x:row r="73" ht="28" customHeight="1">
      <x:c r="A73" s="2" t="str">
        <x:v>E2-02</x:v>
      </x:c>
      <x:c r="B73" s="2" t="str">
        <x:f>IF(VLOOKUP(A73,'Tasks'!$A$2:$X$224,15,FALSE)="","",VLOOKUP(A73,'Tasks'!$A$2:$X$224,15,FALSE))</x:f>
        <x:v>E2-01,BL-B-03</x:v>
      </x:c>
      <x:c r="C73" s="13" t="n">
        <x:f>VLOOKUP(A73,'Tasks'!$A$2:$X$224,12,FALSE)</x:f>
        <x:v>46313</x:v>
      </x:c>
      <x:c r="D73" s="2" t="n">
        <x:f>IF(B73="",0,LEN(B73)-LEN(SUBSTITUTE(B73,",",""))+1)</x:f>
        <x:v>2</x:v>
      </x:c>
      <x:c r="E73" s="14" t="n">
        <x:f>MAX(P73:W73)</x:f>
        <x:v>46312</x:v>
      </x:c>
      <x:c r="F73" s="2" t="n">
        <x:f>COUNTIFS(P73:W73,"BAD ID")</x:f>
        <x:v>0</x:v>
      </x:c>
      <x:c r="G73" s="2" t="str">
        <x:f>IF(D73&gt;8,"TOO MANY",IF(F73&gt;0,"BAD ID",IF(C73&gt;=E73,"OK","LATE")))</x:f>
        <x:v>OK</x:v>
      </x:c>
      <x:c r="H73" s="2" t="str">
        <x:f>TRIM(MID(SUBSTITUTE($B73,",",REPT(" ",100)),1,100))</x:f>
        <x:v>E2-01</x:v>
      </x:c>
      <x:c r="I73" s="2" t="str">
        <x:f>TRIM(MID(SUBSTITUTE($B73,",",REPT(" ",100)),101,100))</x:f>
        <x:v>BL-B-03</x:v>
      </x:c>
      <x:c r="J73" s="2" t="str">
        <x:f>TRIM(MID(SUBSTITUTE($B73,",",REPT(" ",100)),201,100))</x:f>
      </x:c>
      <x:c r="K73" s="2" t="str">
        <x:f>TRIM(MID(SUBSTITUTE($B73,",",REPT(" ",100)),301,100))</x:f>
      </x:c>
      <x:c r="L73" s="2" t="str">
        <x:f>TRIM(MID(SUBSTITUTE($B73,",",REPT(" ",100)),401,100))</x:f>
      </x:c>
      <x:c r="M73" s="2" t="str">
        <x:f>TRIM(MID(SUBSTITUTE($B73,",",REPT(" ",100)),501,100))</x:f>
      </x:c>
      <x:c r="N73" s="2" t="str">
        <x:f>TRIM(MID(SUBSTITUTE($B73,",",REPT(" ",100)),601,100))</x:f>
      </x:c>
      <x:c r="O73" s="2" t="str">
        <x:f>TRIM(MID(SUBSTITUTE($B73,",",REPT(" ",100)),701,100))</x:f>
      </x:c>
      <x:c r="P73" s="14" t="n">
        <x:f>IF(H73="",0,IF(COUNTIFS('Tasks'!$A$2:$A$224,H73)=1,INDEX('Tasks'!$M$2:$M$224,MATCH(H73,'Tasks'!$A$2:$A$224,0)),"BAD ID"))</x:f>
        <x:v>46312</x:v>
      </x:c>
      <x:c r="Q73" s="14" t="n">
        <x:f>IF(I73="",0,IF(COUNTIFS('Tasks'!$A$2:$A$224,I73)=1,INDEX('Tasks'!$M$2:$M$224,MATCH(I73,'Tasks'!$A$2:$A$224,0)),"BAD ID"))</x:f>
        <x:v>46310</x:v>
      </x:c>
      <x:c r="R73" s="14" t="n">
        <x:f>IF(J73="",0,IF(COUNTIFS('Tasks'!$A$2:$A$224,J73)=1,INDEX('Tasks'!$M$2:$M$224,MATCH(J73,'Tasks'!$A$2:$A$224,0)),"BAD ID"))</x:f>
        <x:v>0</x:v>
      </x:c>
      <x:c r="S73" s="14" t="n">
        <x:f>IF(K73="",0,IF(COUNTIFS('Tasks'!$A$2:$A$224,K73)=1,INDEX('Tasks'!$M$2:$M$224,MATCH(K73,'Tasks'!$A$2:$A$224,0)),"BAD ID"))</x:f>
        <x:v>0</x:v>
      </x:c>
      <x:c r="T73" s="14" t="n">
        <x:f>IF(L73="",0,IF(COUNTIFS('Tasks'!$A$2:$A$224,L73)=1,INDEX('Tasks'!$M$2:$M$224,MATCH(L73,'Tasks'!$A$2:$A$224,0)),"BAD ID"))</x:f>
        <x:v>0</x:v>
      </x:c>
      <x:c r="U73" s="14" t="n">
        <x:f>IF(M73="",0,IF(COUNTIFS('Tasks'!$A$2:$A$224,M73)=1,INDEX('Tasks'!$M$2:$M$224,MATCH(M73,'Tasks'!$A$2:$A$224,0)),"BAD ID"))</x:f>
        <x:v>0</x:v>
      </x:c>
      <x:c r="V73" s="14" t="n">
        <x:f>IF(N73="",0,IF(COUNTIFS('Tasks'!$A$2:$A$224,N73)=1,INDEX('Tasks'!$M$2:$M$224,MATCH(N73,'Tasks'!$A$2:$A$224,0)),"BAD ID"))</x:f>
        <x:v>0</x:v>
      </x:c>
      <x:c r="W73" s="14" t="n">
        <x:f>IF(O73="",0,IF(COUNTIFS('Tasks'!$A$2:$A$224,O73)=1,INDEX('Tasks'!$M$2:$M$224,MATCH(O73,'Tasks'!$A$2:$A$224,0)),"BAD ID"))</x:f>
        <x:v>0</x:v>
      </x:c>
    </x:row>
    <x:row r="74" ht="28" customHeight="1">
      <x:c r="A74" s="2" t="str">
        <x:v>E2-03</x:v>
      </x:c>
      <x:c r="B74" s="2" t="str">
        <x:f>IF(VLOOKUP(A74,'Tasks'!$A$2:$X$224,15,FALSE)="","",VLOOKUP(A74,'Tasks'!$A$2:$X$224,15,FALSE))</x:f>
        <x:v>E2-02,BL-D-04</x:v>
      </x:c>
      <x:c r="C74" s="13" t="n">
        <x:f>VLOOKUP(A74,'Tasks'!$A$2:$X$224,12,FALSE)</x:f>
        <x:v>46315</x:v>
      </x:c>
      <x:c r="D74" s="2" t="n">
        <x:f>IF(B74="",0,LEN(B74)-LEN(SUBSTITUTE(B74,",",""))+1)</x:f>
        <x:v>2</x:v>
      </x:c>
      <x:c r="E74" s="14" t="n">
        <x:f>MAX(P74:W74)</x:f>
        <x:v>46313</x:v>
      </x:c>
      <x:c r="F74" s="2" t="n">
        <x:f>COUNTIFS(P74:W74,"BAD ID")</x:f>
        <x:v>0</x:v>
      </x:c>
      <x:c r="G74" s="2" t="str">
        <x:f>IF(D74&gt;8,"TOO MANY",IF(F74&gt;0,"BAD ID",IF(C74&gt;=E74,"OK","LATE")))</x:f>
        <x:v>OK</x:v>
      </x:c>
      <x:c r="H74" s="2" t="str">
        <x:f>TRIM(MID(SUBSTITUTE($B74,",",REPT(" ",100)),1,100))</x:f>
        <x:v>E2-02</x:v>
      </x:c>
      <x:c r="I74" s="2" t="str">
        <x:f>TRIM(MID(SUBSTITUTE($B74,",",REPT(" ",100)),101,100))</x:f>
        <x:v>BL-D-04</x:v>
      </x:c>
      <x:c r="J74" s="2" t="str">
        <x:f>TRIM(MID(SUBSTITUTE($B74,",",REPT(" ",100)),201,100))</x:f>
      </x:c>
      <x:c r="K74" s="2" t="str">
        <x:f>TRIM(MID(SUBSTITUTE($B74,",",REPT(" ",100)),301,100))</x:f>
      </x:c>
      <x:c r="L74" s="2" t="str">
        <x:f>TRIM(MID(SUBSTITUTE($B74,",",REPT(" ",100)),401,100))</x:f>
      </x:c>
      <x:c r="M74" s="2" t="str">
        <x:f>TRIM(MID(SUBSTITUTE($B74,",",REPT(" ",100)),501,100))</x:f>
      </x:c>
      <x:c r="N74" s="2" t="str">
        <x:f>TRIM(MID(SUBSTITUTE($B74,",",REPT(" ",100)),601,100))</x:f>
      </x:c>
      <x:c r="O74" s="2" t="str">
        <x:f>TRIM(MID(SUBSTITUTE($B74,",",REPT(" ",100)),701,100))</x:f>
      </x:c>
      <x:c r="P74" s="14" t="n">
        <x:f>IF(H74="",0,IF(COUNTIFS('Tasks'!$A$2:$A$224,H74)=1,INDEX('Tasks'!$M$2:$M$224,MATCH(H74,'Tasks'!$A$2:$A$224,0)),"BAD ID"))</x:f>
        <x:v>46313</x:v>
      </x:c>
      <x:c r="Q74" s="14" t="n">
        <x:f>IF(I74="",0,IF(COUNTIFS('Tasks'!$A$2:$A$224,I74)=1,INDEX('Tasks'!$M$2:$M$224,MATCH(I74,'Tasks'!$A$2:$A$224,0)),"BAD ID"))</x:f>
        <x:v>46310</x:v>
      </x:c>
      <x:c r="R74" s="14" t="n">
        <x:f>IF(J74="",0,IF(COUNTIFS('Tasks'!$A$2:$A$224,J74)=1,INDEX('Tasks'!$M$2:$M$224,MATCH(J74,'Tasks'!$A$2:$A$224,0)),"BAD ID"))</x:f>
        <x:v>0</x:v>
      </x:c>
      <x:c r="S74" s="14" t="n">
        <x:f>IF(K74="",0,IF(COUNTIFS('Tasks'!$A$2:$A$224,K74)=1,INDEX('Tasks'!$M$2:$M$224,MATCH(K74,'Tasks'!$A$2:$A$224,0)),"BAD ID"))</x:f>
        <x:v>0</x:v>
      </x:c>
      <x:c r="T74" s="14" t="n">
        <x:f>IF(L74="",0,IF(COUNTIFS('Tasks'!$A$2:$A$224,L74)=1,INDEX('Tasks'!$M$2:$M$224,MATCH(L74,'Tasks'!$A$2:$A$224,0)),"BAD ID"))</x:f>
        <x:v>0</x:v>
      </x:c>
      <x:c r="U74" s="14" t="n">
        <x:f>IF(M74="",0,IF(COUNTIFS('Tasks'!$A$2:$A$224,M74)=1,INDEX('Tasks'!$M$2:$M$224,MATCH(M74,'Tasks'!$A$2:$A$224,0)),"BAD ID"))</x:f>
        <x:v>0</x:v>
      </x:c>
      <x:c r="V74" s="14" t="n">
        <x:f>IF(N74="",0,IF(COUNTIFS('Tasks'!$A$2:$A$224,N74)=1,INDEX('Tasks'!$M$2:$M$224,MATCH(N74,'Tasks'!$A$2:$A$224,0)),"BAD ID"))</x:f>
        <x:v>0</x:v>
      </x:c>
      <x:c r="W74" s="14" t="n">
        <x:f>IF(O74="",0,IF(COUNTIFS('Tasks'!$A$2:$A$224,O74)=1,INDEX('Tasks'!$M$2:$M$224,MATCH(O74,'Tasks'!$A$2:$A$224,0)),"BAD ID"))</x:f>
        <x:v>0</x:v>
      </x:c>
    </x:row>
    <x:row r="75" ht="28" customHeight="1">
      <x:c r="A75" s="2" t="str">
        <x:v>E2-04</x:v>
      </x:c>
      <x:c r="B75" s="2" t="str">
        <x:f>IF(VLOOKUP(A75,'Tasks'!$A$2:$X$224,15,FALSE)="","",VLOOKUP(A75,'Tasks'!$A$2:$X$224,15,FALSE))</x:f>
        <x:v>E2-03,BL-C-06</x:v>
      </x:c>
      <x:c r="C75" s="13" t="n">
        <x:f>VLOOKUP(A75,'Tasks'!$A$2:$X$224,12,FALSE)</x:f>
        <x:v>46316</x:v>
      </x:c>
      <x:c r="D75" s="2" t="n">
        <x:f>IF(B75="",0,LEN(B75)-LEN(SUBSTITUTE(B75,",",""))+1)</x:f>
        <x:v>2</x:v>
      </x:c>
      <x:c r="E75" s="14" t="n">
        <x:f>MAX(P75:W75)</x:f>
        <x:v>46315</x:v>
      </x:c>
      <x:c r="F75" s="2" t="n">
        <x:f>COUNTIFS(P75:W75,"BAD ID")</x:f>
        <x:v>0</x:v>
      </x:c>
      <x:c r="G75" s="2" t="str">
        <x:f>IF(D75&gt;8,"TOO MANY",IF(F75&gt;0,"BAD ID",IF(C75&gt;=E75,"OK","LATE")))</x:f>
        <x:v>OK</x:v>
      </x:c>
      <x:c r="H75" s="2" t="str">
        <x:f>TRIM(MID(SUBSTITUTE($B75,",",REPT(" ",100)),1,100))</x:f>
        <x:v>E2-03</x:v>
      </x:c>
      <x:c r="I75" s="2" t="str">
        <x:f>TRIM(MID(SUBSTITUTE($B75,",",REPT(" ",100)),101,100))</x:f>
        <x:v>BL-C-06</x:v>
      </x:c>
      <x:c r="J75" s="2" t="str">
        <x:f>TRIM(MID(SUBSTITUTE($B75,",",REPT(" ",100)),201,100))</x:f>
      </x:c>
      <x:c r="K75" s="2" t="str">
        <x:f>TRIM(MID(SUBSTITUTE($B75,",",REPT(" ",100)),301,100))</x:f>
      </x:c>
      <x:c r="L75" s="2" t="str">
        <x:f>TRIM(MID(SUBSTITUTE($B75,",",REPT(" ",100)),401,100))</x:f>
      </x:c>
      <x:c r="M75" s="2" t="str">
        <x:f>TRIM(MID(SUBSTITUTE($B75,",",REPT(" ",100)),501,100))</x:f>
      </x:c>
      <x:c r="N75" s="2" t="str">
        <x:f>TRIM(MID(SUBSTITUTE($B75,",",REPT(" ",100)),601,100))</x:f>
      </x:c>
      <x:c r="O75" s="2" t="str">
        <x:f>TRIM(MID(SUBSTITUTE($B75,",",REPT(" ",100)),701,100))</x:f>
      </x:c>
      <x:c r="P75" s="14" t="n">
        <x:f>IF(H75="",0,IF(COUNTIFS('Tasks'!$A$2:$A$224,H75)=1,INDEX('Tasks'!$M$2:$M$224,MATCH(H75,'Tasks'!$A$2:$A$224,0)),"BAD ID"))</x:f>
        <x:v>46315</x:v>
      </x:c>
      <x:c r="Q75" s="14" t="n">
        <x:f>IF(I75="",0,IF(COUNTIFS('Tasks'!$A$2:$A$224,I75)=1,INDEX('Tasks'!$M$2:$M$224,MATCH(I75,'Tasks'!$A$2:$A$224,0)),"BAD ID"))</x:f>
        <x:v>46313</x:v>
      </x:c>
      <x:c r="R75" s="14" t="n">
        <x:f>IF(J75="",0,IF(COUNTIFS('Tasks'!$A$2:$A$224,J75)=1,INDEX('Tasks'!$M$2:$M$224,MATCH(J75,'Tasks'!$A$2:$A$224,0)),"BAD ID"))</x:f>
        <x:v>0</x:v>
      </x:c>
      <x:c r="S75" s="14" t="n">
        <x:f>IF(K75="",0,IF(COUNTIFS('Tasks'!$A$2:$A$224,K75)=1,INDEX('Tasks'!$M$2:$M$224,MATCH(K75,'Tasks'!$A$2:$A$224,0)),"BAD ID"))</x:f>
        <x:v>0</x:v>
      </x:c>
      <x:c r="T75" s="14" t="n">
        <x:f>IF(L75="",0,IF(COUNTIFS('Tasks'!$A$2:$A$224,L75)=1,INDEX('Tasks'!$M$2:$M$224,MATCH(L75,'Tasks'!$A$2:$A$224,0)),"BAD ID"))</x:f>
        <x:v>0</x:v>
      </x:c>
      <x:c r="U75" s="14" t="n">
        <x:f>IF(M75="",0,IF(COUNTIFS('Tasks'!$A$2:$A$224,M75)=1,INDEX('Tasks'!$M$2:$M$224,MATCH(M75,'Tasks'!$A$2:$A$224,0)),"BAD ID"))</x:f>
        <x:v>0</x:v>
      </x:c>
      <x:c r="V75" s="14" t="n">
        <x:f>IF(N75="",0,IF(COUNTIFS('Tasks'!$A$2:$A$224,N75)=1,INDEX('Tasks'!$M$2:$M$224,MATCH(N75,'Tasks'!$A$2:$A$224,0)),"BAD ID"))</x:f>
        <x:v>0</x:v>
      </x:c>
      <x:c r="W75" s="14" t="n">
        <x:f>IF(O75="",0,IF(COUNTIFS('Tasks'!$A$2:$A$224,O75)=1,INDEX('Tasks'!$M$2:$M$224,MATCH(O75,'Tasks'!$A$2:$A$224,0)),"BAD ID"))</x:f>
        <x:v>0</x:v>
      </x:c>
    </x:row>
    <x:row r="76" ht="28" customHeight="1">
      <x:c r="A76" s="2" t="str">
        <x:v>E2-05</x:v>
      </x:c>
      <x:c r="B76" s="2" t="str">
        <x:f>IF(VLOOKUP(A76,'Tasks'!$A$2:$X$224,15,FALSE)="","",VLOOKUP(A76,'Tasks'!$A$2:$X$224,15,FALSE))</x:f>
        <x:v>G3-01,E2-04</x:v>
      </x:c>
      <x:c r="C76" s="13" t="n">
        <x:f>VLOOKUP(A76,'Tasks'!$A$2:$X$224,12,FALSE)</x:f>
        <x:v>46321</x:v>
      </x:c>
      <x:c r="D76" s="2" t="n">
        <x:f>IF(B76="",0,LEN(B76)-LEN(SUBSTITUTE(B76,",",""))+1)</x:f>
        <x:v>2</x:v>
      </x:c>
      <x:c r="E76" s="14" t="n">
        <x:f>MAX(P76:W76)</x:f>
        <x:v>46320</x:v>
      </x:c>
      <x:c r="F76" s="2" t="n">
        <x:f>COUNTIFS(P76:W76,"BAD ID")</x:f>
        <x:v>0</x:v>
      </x:c>
      <x:c r="G76" s="2" t="str">
        <x:f>IF(D76&gt;8,"TOO MANY",IF(F76&gt;0,"BAD ID",IF(C76&gt;=E76,"OK","LATE")))</x:f>
        <x:v>OK</x:v>
      </x:c>
      <x:c r="H76" s="2" t="str">
        <x:f>TRIM(MID(SUBSTITUTE($B76,",",REPT(" ",100)),1,100))</x:f>
        <x:v>G3-01</x:v>
      </x:c>
      <x:c r="I76" s="2" t="str">
        <x:f>TRIM(MID(SUBSTITUTE($B76,",",REPT(" ",100)),101,100))</x:f>
        <x:v>E2-04</x:v>
      </x:c>
      <x:c r="J76" s="2" t="str">
        <x:f>TRIM(MID(SUBSTITUTE($B76,",",REPT(" ",100)),201,100))</x:f>
      </x:c>
      <x:c r="K76" s="2" t="str">
        <x:f>TRIM(MID(SUBSTITUTE($B76,",",REPT(" ",100)),301,100))</x:f>
      </x:c>
      <x:c r="L76" s="2" t="str">
        <x:f>TRIM(MID(SUBSTITUTE($B76,",",REPT(" ",100)),401,100))</x:f>
      </x:c>
      <x:c r="M76" s="2" t="str">
        <x:f>TRIM(MID(SUBSTITUTE($B76,",",REPT(" ",100)),501,100))</x:f>
      </x:c>
      <x:c r="N76" s="2" t="str">
        <x:f>TRIM(MID(SUBSTITUTE($B76,",",REPT(" ",100)),601,100))</x:f>
      </x:c>
      <x:c r="O76" s="2" t="str">
        <x:f>TRIM(MID(SUBSTITUTE($B76,",",REPT(" ",100)),701,100))</x:f>
      </x:c>
      <x:c r="P76" s="14" t="n">
        <x:f>IF(H76="",0,IF(COUNTIFS('Tasks'!$A$2:$A$224,H76)=1,INDEX('Tasks'!$M$2:$M$224,MATCH(H76,'Tasks'!$A$2:$A$224,0)),"BAD ID"))</x:f>
        <x:v>46320</x:v>
      </x:c>
      <x:c r="Q76" s="14" t="n">
        <x:f>IF(I76="",0,IF(COUNTIFS('Tasks'!$A$2:$A$224,I76)=1,INDEX('Tasks'!$M$2:$M$224,MATCH(I76,'Tasks'!$A$2:$A$224,0)),"BAD ID"))</x:f>
        <x:v>46316</x:v>
      </x:c>
      <x:c r="R76" s="14" t="n">
        <x:f>IF(J76="",0,IF(COUNTIFS('Tasks'!$A$2:$A$224,J76)=1,INDEX('Tasks'!$M$2:$M$224,MATCH(J76,'Tasks'!$A$2:$A$224,0)),"BAD ID"))</x:f>
        <x:v>0</x:v>
      </x:c>
      <x:c r="S76" s="14" t="n">
        <x:f>IF(K76="",0,IF(COUNTIFS('Tasks'!$A$2:$A$224,K76)=1,INDEX('Tasks'!$M$2:$M$224,MATCH(K76,'Tasks'!$A$2:$A$224,0)),"BAD ID"))</x:f>
        <x:v>0</x:v>
      </x:c>
      <x:c r="T76" s="14" t="n">
        <x:f>IF(L76="",0,IF(COUNTIFS('Tasks'!$A$2:$A$224,L76)=1,INDEX('Tasks'!$M$2:$M$224,MATCH(L76,'Tasks'!$A$2:$A$224,0)),"BAD ID"))</x:f>
        <x:v>0</x:v>
      </x:c>
      <x:c r="U76" s="14" t="n">
        <x:f>IF(M76="",0,IF(COUNTIFS('Tasks'!$A$2:$A$224,M76)=1,INDEX('Tasks'!$M$2:$M$224,MATCH(M76,'Tasks'!$A$2:$A$224,0)),"BAD ID"))</x:f>
        <x:v>0</x:v>
      </x:c>
      <x:c r="V76" s="14" t="n">
        <x:f>IF(N76="",0,IF(COUNTIFS('Tasks'!$A$2:$A$224,N76)=1,INDEX('Tasks'!$M$2:$M$224,MATCH(N76,'Tasks'!$A$2:$A$224,0)),"BAD ID"))</x:f>
        <x:v>0</x:v>
      </x:c>
      <x:c r="W76" s="14" t="n">
        <x:f>IF(O76="",0,IF(COUNTIFS('Tasks'!$A$2:$A$224,O76)=1,INDEX('Tasks'!$M$2:$M$224,MATCH(O76,'Tasks'!$A$2:$A$224,0)),"BAD ID"))</x:f>
        <x:v>0</x:v>
      </x:c>
    </x:row>
    <x:row r="77" ht="28" customHeight="1">
      <x:c r="A77" s="2" t="str">
        <x:v>E2-06</x:v>
      </x:c>
      <x:c r="B77" s="2" t="str">
        <x:f>IF(VLOOKUP(A77,'Tasks'!$A$2:$X$224,15,FALSE)="","",VLOOKUP(A77,'Tasks'!$A$2:$X$224,15,FALSE))</x:f>
        <x:v>E2-05</x:v>
      </x:c>
      <x:c r="C77" s="13" t="n">
        <x:f>VLOOKUP(A77,'Tasks'!$A$2:$X$224,12,FALSE)</x:f>
        <x:v>46322</x:v>
      </x:c>
      <x:c r="D77" s="2" t="n">
        <x:f>IF(B77="",0,LEN(B77)-LEN(SUBSTITUTE(B77,",",""))+1)</x:f>
        <x:v>1</x:v>
      </x:c>
      <x:c r="E77" s="14" t="n">
        <x:f>MAX(P77:W77)</x:f>
        <x:v>46321</x:v>
      </x:c>
      <x:c r="F77" s="2" t="n">
        <x:f>COUNTIFS(P77:W77,"BAD ID")</x:f>
        <x:v>0</x:v>
      </x:c>
      <x:c r="G77" s="2" t="str">
        <x:f>IF(D77&gt;8,"TOO MANY",IF(F77&gt;0,"BAD ID",IF(C77&gt;=E77,"OK","LATE")))</x:f>
        <x:v>OK</x:v>
      </x:c>
      <x:c r="H77" s="2" t="str">
        <x:f>TRIM(MID(SUBSTITUTE($B77,",",REPT(" ",100)),1,100))</x:f>
        <x:v>E2-05</x:v>
      </x:c>
      <x:c r="I77" s="2" t="str">
        <x:f>TRIM(MID(SUBSTITUTE($B77,",",REPT(" ",100)),101,100))</x:f>
      </x:c>
      <x:c r="J77" s="2" t="str">
        <x:f>TRIM(MID(SUBSTITUTE($B77,",",REPT(" ",100)),201,100))</x:f>
      </x:c>
      <x:c r="K77" s="2" t="str">
        <x:f>TRIM(MID(SUBSTITUTE($B77,",",REPT(" ",100)),301,100))</x:f>
      </x:c>
      <x:c r="L77" s="2" t="str">
        <x:f>TRIM(MID(SUBSTITUTE($B77,",",REPT(" ",100)),401,100))</x:f>
      </x:c>
      <x:c r="M77" s="2" t="str">
        <x:f>TRIM(MID(SUBSTITUTE($B77,",",REPT(" ",100)),501,100))</x:f>
      </x:c>
      <x:c r="N77" s="2" t="str">
        <x:f>TRIM(MID(SUBSTITUTE($B77,",",REPT(" ",100)),601,100))</x:f>
      </x:c>
      <x:c r="O77" s="2" t="str">
        <x:f>TRIM(MID(SUBSTITUTE($B77,",",REPT(" ",100)),701,100))</x:f>
      </x:c>
      <x:c r="P77" s="14" t="n">
        <x:f>IF(H77="",0,IF(COUNTIFS('Tasks'!$A$2:$A$224,H77)=1,INDEX('Tasks'!$M$2:$M$224,MATCH(H77,'Tasks'!$A$2:$A$224,0)),"BAD ID"))</x:f>
        <x:v>46321</x:v>
      </x:c>
      <x:c r="Q77" s="14" t="n">
        <x:f>IF(I77="",0,IF(COUNTIFS('Tasks'!$A$2:$A$224,I77)=1,INDEX('Tasks'!$M$2:$M$224,MATCH(I77,'Tasks'!$A$2:$A$224,0)),"BAD ID"))</x:f>
        <x:v>0</x:v>
      </x:c>
      <x:c r="R77" s="14" t="n">
        <x:f>IF(J77="",0,IF(COUNTIFS('Tasks'!$A$2:$A$224,J77)=1,INDEX('Tasks'!$M$2:$M$224,MATCH(J77,'Tasks'!$A$2:$A$224,0)),"BAD ID"))</x:f>
        <x:v>0</x:v>
      </x:c>
      <x:c r="S77" s="14" t="n">
        <x:f>IF(K77="",0,IF(COUNTIFS('Tasks'!$A$2:$A$224,K77)=1,INDEX('Tasks'!$M$2:$M$224,MATCH(K77,'Tasks'!$A$2:$A$224,0)),"BAD ID"))</x:f>
        <x:v>0</x:v>
      </x:c>
      <x:c r="T77" s="14" t="n">
        <x:f>IF(L77="",0,IF(COUNTIFS('Tasks'!$A$2:$A$224,L77)=1,INDEX('Tasks'!$M$2:$M$224,MATCH(L77,'Tasks'!$A$2:$A$224,0)),"BAD ID"))</x:f>
        <x:v>0</x:v>
      </x:c>
      <x:c r="U77" s="14" t="n">
        <x:f>IF(M77="",0,IF(COUNTIFS('Tasks'!$A$2:$A$224,M77)=1,INDEX('Tasks'!$M$2:$M$224,MATCH(M77,'Tasks'!$A$2:$A$224,0)),"BAD ID"))</x:f>
        <x:v>0</x:v>
      </x:c>
      <x:c r="V77" s="14" t="n">
        <x:f>IF(N77="",0,IF(COUNTIFS('Tasks'!$A$2:$A$224,N77)=1,INDEX('Tasks'!$M$2:$M$224,MATCH(N77,'Tasks'!$A$2:$A$224,0)),"BAD ID"))</x:f>
        <x:v>0</x:v>
      </x:c>
      <x:c r="W77" s="14" t="n">
        <x:f>IF(O77="",0,IF(COUNTIFS('Tasks'!$A$2:$A$224,O77)=1,INDEX('Tasks'!$M$2:$M$224,MATCH(O77,'Tasks'!$A$2:$A$224,0)),"BAD ID"))</x:f>
        <x:v>0</x:v>
      </x:c>
    </x:row>
    <x:row r="78" ht="28" customHeight="1">
      <x:c r="A78" s="2" t="str">
        <x:v>E3-01</x:v>
      </x:c>
      <x:c r="B78" s="2" t="str">
        <x:f>IF(VLOOKUP(A78,'Tasks'!$A$2:$X$224,15,FALSE)="","",VLOOKUP(A78,'Tasks'!$A$2:$X$224,15,FALSE))</x:f>
        <x:v>BL-A-02</x:v>
      </x:c>
      <x:c r="C78" s="13" t="n">
        <x:f>VLOOKUP(A78,'Tasks'!$A$2:$X$224,12,FALSE)</x:f>
        <x:v>46312</x:v>
      </x:c>
      <x:c r="D78" s="2" t="n">
        <x:f>IF(B78="",0,LEN(B78)-LEN(SUBSTITUTE(B78,",",""))+1)</x:f>
        <x:v>1</x:v>
      </x:c>
      <x:c r="E78" s="14" t="n">
        <x:f>MAX(P78:W78)</x:f>
        <x:v>46308</x:v>
      </x:c>
      <x:c r="F78" s="2" t="n">
        <x:f>COUNTIFS(P78:W78,"BAD ID")</x:f>
        <x:v>0</x:v>
      </x:c>
      <x:c r="G78" s="2" t="str">
        <x:f>IF(D78&gt;8,"TOO MANY",IF(F78&gt;0,"BAD ID",IF(C78&gt;=E78,"OK","LATE")))</x:f>
        <x:v>OK</x:v>
      </x:c>
      <x:c r="H78" s="2" t="str">
        <x:f>TRIM(MID(SUBSTITUTE($B78,",",REPT(" ",100)),1,100))</x:f>
        <x:v>BL-A-02</x:v>
      </x:c>
      <x:c r="I78" s="2" t="str">
        <x:f>TRIM(MID(SUBSTITUTE($B78,",",REPT(" ",100)),101,100))</x:f>
      </x:c>
      <x:c r="J78" s="2" t="str">
        <x:f>TRIM(MID(SUBSTITUTE($B78,",",REPT(" ",100)),201,100))</x:f>
      </x:c>
      <x:c r="K78" s="2" t="str">
        <x:f>TRIM(MID(SUBSTITUTE($B78,",",REPT(" ",100)),301,100))</x:f>
      </x:c>
      <x:c r="L78" s="2" t="str">
        <x:f>TRIM(MID(SUBSTITUTE($B78,",",REPT(" ",100)),401,100))</x:f>
      </x:c>
      <x:c r="M78" s="2" t="str">
        <x:f>TRIM(MID(SUBSTITUTE($B78,",",REPT(" ",100)),501,100))</x:f>
      </x:c>
      <x:c r="N78" s="2" t="str">
        <x:f>TRIM(MID(SUBSTITUTE($B78,",",REPT(" ",100)),601,100))</x:f>
      </x:c>
      <x:c r="O78" s="2" t="str">
        <x:f>TRIM(MID(SUBSTITUTE($B78,",",REPT(" ",100)),701,100))</x:f>
      </x:c>
      <x:c r="P78" s="14" t="n">
        <x:f>IF(H78="",0,IF(COUNTIFS('Tasks'!$A$2:$A$224,H78)=1,INDEX('Tasks'!$M$2:$M$224,MATCH(H78,'Tasks'!$A$2:$A$224,0)),"BAD ID"))</x:f>
        <x:v>46308</x:v>
      </x:c>
      <x:c r="Q78" s="14" t="n">
        <x:f>IF(I78="",0,IF(COUNTIFS('Tasks'!$A$2:$A$224,I78)=1,INDEX('Tasks'!$M$2:$M$224,MATCH(I78,'Tasks'!$A$2:$A$224,0)),"BAD ID"))</x:f>
        <x:v>0</x:v>
      </x:c>
      <x:c r="R78" s="14" t="n">
        <x:f>IF(J78="",0,IF(COUNTIFS('Tasks'!$A$2:$A$224,J78)=1,INDEX('Tasks'!$M$2:$M$224,MATCH(J78,'Tasks'!$A$2:$A$224,0)),"BAD ID"))</x:f>
        <x:v>0</x:v>
      </x:c>
      <x:c r="S78" s="14" t="n">
        <x:f>IF(K78="",0,IF(COUNTIFS('Tasks'!$A$2:$A$224,K78)=1,INDEX('Tasks'!$M$2:$M$224,MATCH(K78,'Tasks'!$A$2:$A$224,0)),"BAD ID"))</x:f>
        <x:v>0</x:v>
      </x:c>
      <x:c r="T78" s="14" t="n">
        <x:f>IF(L78="",0,IF(COUNTIFS('Tasks'!$A$2:$A$224,L78)=1,INDEX('Tasks'!$M$2:$M$224,MATCH(L78,'Tasks'!$A$2:$A$224,0)),"BAD ID"))</x:f>
        <x:v>0</x:v>
      </x:c>
      <x:c r="U78" s="14" t="n">
        <x:f>IF(M78="",0,IF(COUNTIFS('Tasks'!$A$2:$A$224,M78)=1,INDEX('Tasks'!$M$2:$M$224,MATCH(M78,'Tasks'!$A$2:$A$224,0)),"BAD ID"))</x:f>
        <x:v>0</x:v>
      </x:c>
      <x:c r="V78" s="14" t="n">
        <x:f>IF(N78="",0,IF(COUNTIFS('Tasks'!$A$2:$A$224,N78)=1,INDEX('Tasks'!$M$2:$M$224,MATCH(N78,'Tasks'!$A$2:$A$224,0)),"BAD ID"))</x:f>
        <x:v>0</x:v>
      </x:c>
      <x:c r="W78" s="14" t="n">
        <x:f>IF(O78="",0,IF(COUNTIFS('Tasks'!$A$2:$A$224,O78)=1,INDEX('Tasks'!$M$2:$M$224,MATCH(O78,'Tasks'!$A$2:$A$224,0)),"BAD ID"))</x:f>
        <x:v>0</x:v>
      </x:c>
    </x:row>
    <x:row r="79" ht="28" customHeight="1">
      <x:c r="A79" s="2" t="str">
        <x:v>E3-02</x:v>
      </x:c>
      <x:c r="B79" s="2" t="str">
        <x:f>IF(VLOOKUP(A79,'Tasks'!$A$2:$X$224,15,FALSE)="","",VLOOKUP(A79,'Tasks'!$A$2:$X$224,15,FALSE))</x:f>
        <x:v>E3-01,BL-A-03</x:v>
      </x:c>
      <x:c r="C79" s="13" t="n">
        <x:f>VLOOKUP(A79,'Tasks'!$A$2:$X$224,12,FALSE)</x:f>
        <x:v>46314</x:v>
      </x:c>
      <x:c r="D79" s="2" t="n">
        <x:f>IF(B79="",0,LEN(B79)-LEN(SUBSTITUTE(B79,",",""))+1)</x:f>
        <x:v>2</x:v>
      </x:c>
      <x:c r="E79" s="14" t="n">
        <x:f>MAX(P79:W79)</x:f>
        <x:v>46312</x:v>
      </x:c>
      <x:c r="F79" s="2" t="n">
        <x:f>COUNTIFS(P79:W79,"BAD ID")</x:f>
        <x:v>0</x:v>
      </x:c>
      <x:c r="G79" s="2" t="str">
        <x:f>IF(D79&gt;8,"TOO MANY",IF(F79&gt;0,"BAD ID",IF(C79&gt;=E79,"OK","LATE")))</x:f>
        <x:v>OK</x:v>
      </x:c>
      <x:c r="H79" s="2" t="str">
        <x:f>TRIM(MID(SUBSTITUTE($B79,",",REPT(" ",100)),1,100))</x:f>
        <x:v>E3-01</x:v>
      </x:c>
      <x:c r="I79" s="2" t="str">
        <x:f>TRIM(MID(SUBSTITUTE($B79,",",REPT(" ",100)),101,100))</x:f>
        <x:v>BL-A-03</x:v>
      </x:c>
      <x:c r="J79" s="2" t="str">
        <x:f>TRIM(MID(SUBSTITUTE($B79,",",REPT(" ",100)),201,100))</x:f>
      </x:c>
      <x:c r="K79" s="2" t="str">
        <x:f>TRIM(MID(SUBSTITUTE($B79,",",REPT(" ",100)),301,100))</x:f>
      </x:c>
      <x:c r="L79" s="2" t="str">
        <x:f>TRIM(MID(SUBSTITUTE($B79,",",REPT(" ",100)),401,100))</x:f>
      </x:c>
      <x:c r="M79" s="2" t="str">
        <x:f>TRIM(MID(SUBSTITUTE($B79,",",REPT(" ",100)),501,100))</x:f>
      </x:c>
      <x:c r="N79" s="2" t="str">
        <x:f>TRIM(MID(SUBSTITUTE($B79,",",REPT(" ",100)),601,100))</x:f>
      </x:c>
      <x:c r="O79" s="2" t="str">
        <x:f>TRIM(MID(SUBSTITUTE($B79,",",REPT(" ",100)),701,100))</x:f>
      </x:c>
      <x:c r="P79" s="14" t="n">
        <x:f>IF(H79="",0,IF(COUNTIFS('Tasks'!$A$2:$A$224,H79)=1,INDEX('Tasks'!$M$2:$M$224,MATCH(H79,'Tasks'!$A$2:$A$224,0)),"BAD ID"))</x:f>
        <x:v>46312</x:v>
      </x:c>
      <x:c r="Q79" s="14" t="n">
        <x:f>IF(I79="",0,IF(COUNTIFS('Tasks'!$A$2:$A$224,I79)=1,INDEX('Tasks'!$M$2:$M$224,MATCH(I79,'Tasks'!$A$2:$A$224,0)),"BAD ID"))</x:f>
        <x:v>46309</x:v>
      </x:c>
      <x:c r="R79" s="14" t="n">
        <x:f>IF(J79="",0,IF(COUNTIFS('Tasks'!$A$2:$A$224,J79)=1,INDEX('Tasks'!$M$2:$M$224,MATCH(J79,'Tasks'!$A$2:$A$224,0)),"BAD ID"))</x:f>
        <x:v>0</x:v>
      </x:c>
      <x:c r="S79" s="14" t="n">
        <x:f>IF(K79="",0,IF(COUNTIFS('Tasks'!$A$2:$A$224,K79)=1,INDEX('Tasks'!$M$2:$M$224,MATCH(K79,'Tasks'!$A$2:$A$224,0)),"BAD ID"))</x:f>
        <x:v>0</x:v>
      </x:c>
      <x:c r="T79" s="14" t="n">
        <x:f>IF(L79="",0,IF(COUNTIFS('Tasks'!$A$2:$A$224,L79)=1,INDEX('Tasks'!$M$2:$M$224,MATCH(L79,'Tasks'!$A$2:$A$224,0)),"BAD ID"))</x:f>
        <x:v>0</x:v>
      </x:c>
      <x:c r="U79" s="14" t="n">
        <x:f>IF(M79="",0,IF(COUNTIFS('Tasks'!$A$2:$A$224,M79)=1,INDEX('Tasks'!$M$2:$M$224,MATCH(M79,'Tasks'!$A$2:$A$224,0)),"BAD ID"))</x:f>
        <x:v>0</x:v>
      </x:c>
      <x:c r="V79" s="14" t="n">
        <x:f>IF(N79="",0,IF(COUNTIFS('Tasks'!$A$2:$A$224,N79)=1,INDEX('Tasks'!$M$2:$M$224,MATCH(N79,'Tasks'!$A$2:$A$224,0)),"BAD ID"))</x:f>
        <x:v>0</x:v>
      </x:c>
      <x:c r="W79" s="14" t="n">
        <x:f>IF(O79="",0,IF(COUNTIFS('Tasks'!$A$2:$A$224,O79)=1,INDEX('Tasks'!$M$2:$M$224,MATCH(O79,'Tasks'!$A$2:$A$224,0)),"BAD ID"))</x:f>
        <x:v>0</x:v>
      </x:c>
    </x:row>
    <x:row r="80" ht="28" customHeight="1">
      <x:c r="A80" s="2" t="str">
        <x:v>E3-03</x:v>
      </x:c>
      <x:c r="B80" s="2" t="str">
        <x:f>IF(VLOOKUP(A80,'Tasks'!$A$2:$X$224,15,FALSE)="","",VLOOKUP(A80,'Tasks'!$A$2:$X$224,15,FALSE))</x:f>
        <x:v>E3-02,RV-06</x:v>
      </x:c>
      <x:c r="C80" s="13" t="n">
        <x:f>VLOOKUP(A80,'Tasks'!$A$2:$X$224,12,FALSE)</x:f>
        <x:v>46316</x:v>
      </x:c>
      <x:c r="D80" s="2" t="n">
        <x:f>IF(B80="",0,LEN(B80)-LEN(SUBSTITUTE(B80,",",""))+1)</x:f>
        <x:v>2</x:v>
      </x:c>
      <x:c r="E80" s="14" t="n">
        <x:f>MAX(P80:W80)</x:f>
        <x:v>46314</x:v>
      </x:c>
      <x:c r="F80" s="2" t="n">
        <x:f>COUNTIFS(P80:W80,"BAD ID")</x:f>
        <x:v>0</x:v>
      </x:c>
      <x:c r="G80" s="2" t="str">
        <x:f>IF(D80&gt;8,"TOO MANY",IF(F80&gt;0,"BAD ID",IF(C80&gt;=E80,"OK","LATE")))</x:f>
        <x:v>OK</x:v>
      </x:c>
      <x:c r="H80" s="2" t="str">
        <x:f>TRIM(MID(SUBSTITUTE($B80,",",REPT(" ",100)),1,100))</x:f>
        <x:v>E3-02</x:v>
      </x:c>
      <x:c r="I80" s="2" t="str">
        <x:f>TRIM(MID(SUBSTITUTE($B80,",",REPT(" ",100)),101,100))</x:f>
        <x:v>RV-06</x:v>
      </x:c>
      <x:c r="J80" s="2" t="str">
        <x:f>TRIM(MID(SUBSTITUTE($B80,",",REPT(" ",100)),201,100))</x:f>
      </x:c>
      <x:c r="K80" s="2" t="str">
        <x:f>TRIM(MID(SUBSTITUTE($B80,",",REPT(" ",100)),301,100))</x:f>
      </x:c>
      <x:c r="L80" s="2" t="str">
        <x:f>TRIM(MID(SUBSTITUTE($B80,",",REPT(" ",100)),401,100))</x:f>
      </x:c>
      <x:c r="M80" s="2" t="str">
        <x:f>TRIM(MID(SUBSTITUTE($B80,",",REPT(" ",100)),501,100))</x:f>
      </x:c>
      <x:c r="N80" s="2" t="str">
        <x:f>TRIM(MID(SUBSTITUTE($B80,",",REPT(" ",100)),601,100))</x:f>
      </x:c>
      <x:c r="O80" s="2" t="str">
        <x:f>TRIM(MID(SUBSTITUTE($B80,",",REPT(" ",100)),701,100))</x:f>
      </x:c>
      <x:c r="P80" s="14" t="n">
        <x:f>IF(H80="",0,IF(COUNTIFS('Tasks'!$A$2:$A$224,H80)=1,INDEX('Tasks'!$M$2:$M$224,MATCH(H80,'Tasks'!$A$2:$A$224,0)),"BAD ID"))</x:f>
        <x:v>46314</x:v>
      </x:c>
      <x:c r="Q80" s="14" t="n">
        <x:f>IF(I80="",0,IF(COUNTIFS('Tasks'!$A$2:$A$224,I80)=1,INDEX('Tasks'!$M$2:$M$224,MATCH(I80,'Tasks'!$A$2:$A$224,0)),"BAD ID"))</x:f>
        <x:v>46313</x:v>
      </x:c>
      <x:c r="R80" s="14" t="n">
        <x:f>IF(J80="",0,IF(COUNTIFS('Tasks'!$A$2:$A$224,J80)=1,INDEX('Tasks'!$M$2:$M$224,MATCH(J80,'Tasks'!$A$2:$A$224,0)),"BAD ID"))</x:f>
        <x:v>0</x:v>
      </x:c>
      <x:c r="S80" s="14" t="n">
        <x:f>IF(K80="",0,IF(COUNTIFS('Tasks'!$A$2:$A$224,K80)=1,INDEX('Tasks'!$M$2:$M$224,MATCH(K80,'Tasks'!$A$2:$A$224,0)),"BAD ID"))</x:f>
        <x:v>0</x:v>
      </x:c>
      <x:c r="T80" s="14" t="n">
        <x:f>IF(L80="",0,IF(COUNTIFS('Tasks'!$A$2:$A$224,L80)=1,INDEX('Tasks'!$M$2:$M$224,MATCH(L80,'Tasks'!$A$2:$A$224,0)),"BAD ID"))</x:f>
        <x:v>0</x:v>
      </x:c>
      <x:c r="U80" s="14" t="n">
        <x:f>IF(M80="",0,IF(COUNTIFS('Tasks'!$A$2:$A$224,M80)=1,INDEX('Tasks'!$M$2:$M$224,MATCH(M80,'Tasks'!$A$2:$A$224,0)),"BAD ID"))</x:f>
        <x:v>0</x:v>
      </x:c>
      <x:c r="V80" s="14" t="n">
        <x:f>IF(N80="",0,IF(COUNTIFS('Tasks'!$A$2:$A$224,N80)=1,INDEX('Tasks'!$M$2:$M$224,MATCH(N80,'Tasks'!$A$2:$A$224,0)),"BAD ID"))</x:f>
        <x:v>0</x:v>
      </x:c>
      <x:c r="W80" s="14" t="n">
        <x:f>IF(O80="",0,IF(COUNTIFS('Tasks'!$A$2:$A$224,O80)=1,INDEX('Tasks'!$M$2:$M$224,MATCH(O80,'Tasks'!$A$2:$A$224,0)),"BAD ID"))</x:f>
        <x:v>0</x:v>
      </x:c>
    </x:row>
    <x:row r="81" ht="28" customHeight="1">
      <x:c r="A81" s="2" t="str">
        <x:v>E3-04</x:v>
      </x:c>
      <x:c r="B81" s="2" t="str">
        <x:f>IF(VLOOKUP(A81,'Tasks'!$A$2:$X$224,15,FALSE)="","",VLOOKUP(A81,'Tasks'!$A$2:$X$224,15,FALSE))</x:f>
        <x:v>G3-01,E3-03</x:v>
      </x:c>
      <x:c r="C81" s="13" t="n">
        <x:f>VLOOKUP(A81,'Tasks'!$A$2:$X$224,12,FALSE)</x:f>
        <x:v>46321</x:v>
      </x:c>
      <x:c r="D81" s="2" t="n">
        <x:f>IF(B81="",0,LEN(B81)-LEN(SUBSTITUTE(B81,",",""))+1)</x:f>
        <x:v>2</x:v>
      </x:c>
      <x:c r="E81" s="14" t="n">
        <x:f>MAX(P81:W81)</x:f>
        <x:v>46320</x:v>
      </x:c>
      <x:c r="F81" s="2" t="n">
        <x:f>COUNTIFS(P81:W81,"BAD ID")</x:f>
        <x:v>0</x:v>
      </x:c>
      <x:c r="G81" s="2" t="str">
        <x:f>IF(D81&gt;8,"TOO MANY",IF(F81&gt;0,"BAD ID",IF(C81&gt;=E81,"OK","LATE")))</x:f>
        <x:v>OK</x:v>
      </x:c>
      <x:c r="H81" s="2" t="str">
        <x:f>TRIM(MID(SUBSTITUTE($B81,",",REPT(" ",100)),1,100))</x:f>
        <x:v>G3-01</x:v>
      </x:c>
      <x:c r="I81" s="2" t="str">
        <x:f>TRIM(MID(SUBSTITUTE($B81,",",REPT(" ",100)),101,100))</x:f>
        <x:v>E3-03</x:v>
      </x:c>
      <x:c r="J81" s="2" t="str">
        <x:f>TRIM(MID(SUBSTITUTE($B81,",",REPT(" ",100)),201,100))</x:f>
      </x:c>
      <x:c r="K81" s="2" t="str">
        <x:f>TRIM(MID(SUBSTITUTE($B81,",",REPT(" ",100)),301,100))</x:f>
      </x:c>
      <x:c r="L81" s="2" t="str">
        <x:f>TRIM(MID(SUBSTITUTE($B81,",",REPT(" ",100)),401,100))</x:f>
      </x:c>
      <x:c r="M81" s="2" t="str">
        <x:f>TRIM(MID(SUBSTITUTE($B81,",",REPT(" ",100)),501,100))</x:f>
      </x:c>
      <x:c r="N81" s="2" t="str">
        <x:f>TRIM(MID(SUBSTITUTE($B81,",",REPT(" ",100)),601,100))</x:f>
      </x:c>
      <x:c r="O81" s="2" t="str">
        <x:f>TRIM(MID(SUBSTITUTE($B81,",",REPT(" ",100)),701,100))</x:f>
      </x:c>
      <x:c r="P81" s="14" t="n">
        <x:f>IF(H81="",0,IF(COUNTIFS('Tasks'!$A$2:$A$224,H81)=1,INDEX('Tasks'!$M$2:$M$224,MATCH(H81,'Tasks'!$A$2:$A$224,0)),"BAD ID"))</x:f>
        <x:v>46320</x:v>
      </x:c>
      <x:c r="Q81" s="14" t="n">
        <x:f>IF(I81="",0,IF(COUNTIFS('Tasks'!$A$2:$A$224,I81)=1,INDEX('Tasks'!$M$2:$M$224,MATCH(I81,'Tasks'!$A$2:$A$224,0)),"BAD ID"))</x:f>
        <x:v>46316</x:v>
      </x:c>
      <x:c r="R81" s="14" t="n">
        <x:f>IF(J81="",0,IF(COUNTIFS('Tasks'!$A$2:$A$224,J81)=1,INDEX('Tasks'!$M$2:$M$224,MATCH(J81,'Tasks'!$A$2:$A$224,0)),"BAD ID"))</x:f>
        <x:v>0</x:v>
      </x:c>
      <x:c r="S81" s="14" t="n">
        <x:f>IF(K81="",0,IF(COUNTIFS('Tasks'!$A$2:$A$224,K81)=1,INDEX('Tasks'!$M$2:$M$224,MATCH(K81,'Tasks'!$A$2:$A$224,0)),"BAD ID"))</x:f>
        <x:v>0</x:v>
      </x:c>
      <x:c r="T81" s="14" t="n">
        <x:f>IF(L81="",0,IF(COUNTIFS('Tasks'!$A$2:$A$224,L81)=1,INDEX('Tasks'!$M$2:$M$224,MATCH(L81,'Tasks'!$A$2:$A$224,0)),"BAD ID"))</x:f>
        <x:v>0</x:v>
      </x:c>
      <x:c r="U81" s="14" t="n">
        <x:f>IF(M81="",0,IF(COUNTIFS('Tasks'!$A$2:$A$224,M81)=1,INDEX('Tasks'!$M$2:$M$224,MATCH(M81,'Tasks'!$A$2:$A$224,0)),"BAD ID"))</x:f>
        <x:v>0</x:v>
      </x:c>
      <x:c r="V81" s="14" t="n">
        <x:f>IF(N81="",0,IF(COUNTIFS('Tasks'!$A$2:$A$224,N81)=1,INDEX('Tasks'!$M$2:$M$224,MATCH(N81,'Tasks'!$A$2:$A$224,0)),"BAD ID"))</x:f>
        <x:v>0</x:v>
      </x:c>
      <x:c r="W81" s="14" t="n">
        <x:f>IF(O81="",0,IF(COUNTIFS('Tasks'!$A$2:$A$224,O81)=1,INDEX('Tasks'!$M$2:$M$224,MATCH(O81,'Tasks'!$A$2:$A$224,0)),"BAD ID"))</x:f>
        <x:v>0</x:v>
      </x:c>
    </x:row>
    <x:row r="82" ht="28" customHeight="1">
      <x:c r="A82" s="2" t="str">
        <x:v>E3-05</x:v>
      </x:c>
      <x:c r="B82" s="2" t="str">
        <x:f>IF(VLOOKUP(A82,'Tasks'!$A$2:$X$224,15,FALSE)="","",VLOOKUP(A82,'Tasks'!$A$2:$X$224,15,FALSE))</x:f>
        <x:v>E3-04</x:v>
      </x:c>
      <x:c r="C82" s="13" t="n">
        <x:f>VLOOKUP(A82,'Tasks'!$A$2:$X$224,12,FALSE)</x:f>
        <x:v>46322</x:v>
      </x:c>
      <x:c r="D82" s="2" t="n">
        <x:f>IF(B82="",0,LEN(B82)-LEN(SUBSTITUTE(B82,",",""))+1)</x:f>
        <x:v>1</x:v>
      </x:c>
      <x:c r="E82" s="14" t="n">
        <x:f>MAX(P82:W82)</x:f>
        <x:v>46321</x:v>
      </x:c>
      <x:c r="F82" s="2" t="n">
        <x:f>COUNTIFS(P82:W82,"BAD ID")</x:f>
        <x:v>0</x:v>
      </x:c>
      <x:c r="G82" s="2" t="str">
        <x:f>IF(D82&gt;8,"TOO MANY",IF(F82&gt;0,"BAD ID",IF(C82&gt;=E82,"OK","LATE")))</x:f>
        <x:v>OK</x:v>
      </x:c>
      <x:c r="H82" s="2" t="str">
        <x:f>TRIM(MID(SUBSTITUTE($B82,",",REPT(" ",100)),1,100))</x:f>
        <x:v>E3-04</x:v>
      </x:c>
      <x:c r="I82" s="2" t="str">
        <x:f>TRIM(MID(SUBSTITUTE($B82,",",REPT(" ",100)),101,100))</x:f>
      </x:c>
      <x:c r="J82" s="2" t="str">
        <x:f>TRIM(MID(SUBSTITUTE($B82,",",REPT(" ",100)),201,100))</x:f>
      </x:c>
      <x:c r="K82" s="2" t="str">
        <x:f>TRIM(MID(SUBSTITUTE($B82,",",REPT(" ",100)),301,100))</x:f>
      </x:c>
      <x:c r="L82" s="2" t="str">
        <x:f>TRIM(MID(SUBSTITUTE($B82,",",REPT(" ",100)),401,100))</x:f>
      </x:c>
      <x:c r="M82" s="2" t="str">
        <x:f>TRIM(MID(SUBSTITUTE($B82,",",REPT(" ",100)),501,100))</x:f>
      </x:c>
      <x:c r="N82" s="2" t="str">
        <x:f>TRIM(MID(SUBSTITUTE($B82,",",REPT(" ",100)),601,100))</x:f>
      </x:c>
      <x:c r="O82" s="2" t="str">
        <x:f>TRIM(MID(SUBSTITUTE($B82,",",REPT(" ",100)),701,100))</x:f>
      </x:c>
      <x:c r="P82" s="14" t="n">
        <x:f>IF(H82="",0,IF(COUNTIFS('Tasks'!$A$2:$A$224,H82)=1,INDEX('Tasks'!$M$2:$M$224,MATCH(H82,'Tasks'!$A$2:$A$224,0)),"BAD ID"))</x:f>
        <x:v>46321</x:v>
      </x:c>
      <x:c r="Q82" s="14" t="n">
        <x:f>IF(I82="",0,IF(COUNTIFS('Tasks'!$A$2:$A$224,I82)=1,INDEX('Tasks'!$M$2:$M$224,MATCH(I82,'Tasks'!$A$2:$A$224,0)),"BAD ID"))</x:f>
        <x:v>0</x:v>
      </x:c>
      <x:c r="R82" s="14" t="n">
        <x:f>IF(J82="",0,IF(COUNTIFS('Tasks'!$A$2:$A$224,J82)=1,INDEX('Tasks'!$M$2:$M$224,MATCH(J82,'Tasks'!$A$2:$A$224,0)),"BAD ID"))</x:f>
        <x:v>0</x:v>
      </x:c>
      <x:c r="S82" s="14" t="n">
        <x:f>IF(K82="",0,IF(COUNTIFS('Tasks'!$A$2:$A$224,K82)=1,INDEX('Tasks'!$M$2:$M$224,MATCH(K82,'Tasks'!$A$2:$A$224,0)),"BAD ID"))</x:f>
        <x:v>0</x:v>
      </x:c>
      <x:c r="T82" s="14" t="n">
        <x:f>IF(L82="",0,IF(COUNTIFS('Tasks'!$A$2:$A$224,L82)=1,INDEX('Tasks'!$M$2:$M$224,MATCH(L82,'Tasks'!$A$2:$A$224,0)),"BAD ID"))</x:f>
        <x:v>0</x:v>
      </x:c>
      <x:c r="U82" s="14" t="n">
        <x:f>IF(M82="",0,IF(COUNTIFS('Tasks'!$A$2:$A$224,M82)=1,INDEX('Tasks'!$M$2:$M$224,MATCH(M82,'Tasks'!$A$2:$A$224,0)),"BAD ID"))</x:f>
        <x:v>0</x:v>
      </x:c>
      <x:c r="V82" s="14" t="n">
        <x:f>IF(N82="",0,IF(COUNTIFS('Tasks'!$A$2:$A$224,N82)=1,INDEX('Tasks'!$M$2:$M$224,MATCH(N82,'Tasks'!$A$2:$A$224,0)),"BAD ID"))</x:f>
        <x:v>0</x:v>
      </x:c>
      <x:c r="W82" s="14" t="n">
        <x:f>IF(O82="",0,IF(COUNTIFS('Tasks'!$A$2:$A$224,O82)=1,INDEX('Tasks'!$M$2:$M$224,MATCH(O82,'Tasks'!$A$2:$A$224,0)),"BAD ID"))</x:f>
        <x:v>0</x:v>
      </x:c>
    </x:row>
    <x:row r="83" ht="28" customHeight="1">
      <x:c r="A83" s="2" t="str">
        <x:v>E3-06</x:v>
      </x:c>
      <x:c r="B83" s="2" t="str">
        <x:f>IF(VLOOKUP(A83,'Tasks'!$A$2:$X$224,15,FALSE)="","",VLOOKUP(A83,'Tasks'!$A$2:$X$224,15,FALSE))</x:f>
        <x:v>E3-05</x:v>
      </x:c>
      <x:c r="C83" s="13" t="n">
        <x:f>VLOOKUP(A83,'Tasks'!$A$2:$X$224,12,FALSE)</x:f>
        <x:v>46323</x:v>
      </x:c>
      <x:c r="D83" s="2" t="n">
        <x:f>IF(B83="",0,LEN(B83)-LEN(SUBSTITUTE(B83,",",""))+1)</x:f>
        <x:v>1</x:v>
      </x:c>
      <x:c r="E83" s="14" t="n">
        <x:f>MAX(P83:W83)</x:f>
        <x:v>46322</x:v>
      </x:c>
      <x:c r="F83" s="2" t="n">
        <x:f>COUNTIFS(P83:W83,"BAD ID")</x:f>
        <x:v>0</x:v>
      </x:c>
      <x:c r="G83" s="2" t="str">
        <x:f>IF(D83&gt;8,"TOO MANY",IF(F83&gt;0,"BAD ID",IF(C83&gt;=E83,"OK","LATE")))</x:f>
        <x:v>OK</x:v>
      </x:c>
      <x:c r="H83" s="2" t="str">
        <x:f>TRIM(MID(SUBSTITUTE($B83,",",REPT(" ",100)),1,100))</x:f>
        <x:v>E3-05</x:v>
      </x:c>
      <x:c r="I83" s="2" t="str">
        <x:f>TRIM(MID(SUBSTITUTE($B83,",",REPT(" ",100)),101,100))</x:f>
      </x:c>
      <x:c r="J83" s="2" t="str">
        <x:f>TRIM(MID(SUBSTITUTE($B83,",",REPT(" ",100)),201,100))</x:f>
      </x:c>
      <x:c r="K83" s="2" t="str">
        <x:f>TRIM(MID(SUBSTITUTE($B83,",",REPT(" ",100)),301,100))</x:f>
      </x:c>
      <x:c r="L83" s="2" t="str">
        <x:f>TRIM(MID(SUBSTITUTE($B83,",",REPT(" ",100)),401,100))</x:f>
      </x:c>
      <x:c r="M83" s="2" t="str">
        <x:f>TRIM(MID(SUBSTITUTE($B83,",",REPT(" ",100)),501,100))</x:f>
      </x:c>
      <x:c r="N83" s="2" t="str">
        <x:f>TRIM(MID(SUBSTITUTE($B83,",",REPT(" ",100)),601,100))</x:f>
      </x:c>
      <x:c r="O83" s="2" t="str">
        <x:f>TRIM(MID(SUBSTITUTE($B83,",",REPT(" ",100)),701,100))</x:f>
      </x:c>
      <x:c r="P83" s="14" t="n">
        <x:f>IF(H83="",0,IF(COUNTIFS('Tasks'!$A$2:$A$224,H83)=1,INDEX('Tasks'!$M$2:$M$224,MATCH(H83,'Tasks'!$A$2:$A$224,0)),"BAD ID"))</x:f>
        <x:v>46322</x:v>
      </x:c>
      <x:c r="Q83" s="14" t="n">
        <x:f>IF(I83="",0,IF(COUNTIFS('Tasks'!$A$2:$A$224,I83)=1,INDEX('Tasks'!$M$2:$M$224,MATCH(I83,'Tasks'!$A$2:$A$224,0)),"BAD ID"))</x:f>
        <x:v>0</x:v>
      </x:c>
      <x:c r="R83" s="14" t="n">
        <x:f>IF(J83="",0,IF(COUNTIFS('Tasks'!$A$2:$A$224,J83)=1,INDEX('Tasks'!$M$2:$M$224,MATCH(J83,'Tasks'!$A$2:$A$224,0)),"BAD ID"))</x:f>
        <x:v>0</x:v>
      </x:c>
      <x:c r="S83" s="14" t="n">
        <x:f>IF(K83="",0,IF(COUNTIFS('Tasks'!$A$2:$A$224,K83)=1,INDEX('Tasks'!$M$2:$M$224,MATCH(K83,'Tasks'!$A$2:$A$224,0)),"BAD ID"))</x:f>
        <x:v>0</x:v>
      </x:c>
      <x:c r="T83" s="14" t="n">
        <x:f>IF(L83="",0,IF(COUNTIFS('Tasks'!$A$2:$A$224,L83)=1,INDEX('Tasks'!$M$2:$M$224,MATCH(L83,'Tasks'!$A$2:$A$224,0)),"BAD ID"))</x:f>
        <x:v>0</x:v>
      </x:c>
      <x:c r="U83" s="14" t="n">
        <x:f>IF(M83="",0,IF(COUNTIFS('Tasks'!$A$2:$A$224,M83)=1,INDEX('Tasks'!$M$2:$M$224,MATCH(M83,'Tasks'!$A$2:$A$224,0)),"BAD ID"))</x:f>
        <x:v>0</x:v>
      </x:c>
      <x:c r="V83" s="14" t="n">
        <x:f>IF(N83="",0,IF(COUNTIFS('Tasks'!$A$2:$A$224,N83)=1,INDEX('Tasks'!$M$2:$M$224,MATCH(N83,'Tasks'!$A$2:$A$224,0)),"BAD ID"))</x:f>
        <x:v>0</x:v>
      </x:c>
      <x:c r="W83" s="14" t="n">
        <x:f>IF(O83="",0,IF(COUNTIFS('Tasks'!$A$2:$A$224,O83)=1,INDEX('Tasks'!$M$2:$M$224,MATCH(O83,'Tasks'!$A$2:$A$224,0)),"BAD ID"))</x:f>
        <x:v>0</x:v>
      </x:c>
    </x:row>
    <x:row r="84" ht="28" customHeight="1">
      <x:c r="A84" s="2" t="str">
        <x:v>E4-01</x:v>
      </x:c>
      <x:c r="B84" s="2" t="str">
        <x:f>IF(VLOOKUP(A84,'Tasks'!$A$2:$X$224,15,FALSE)="","",VLOOKUP(A84,'Tasks'!$A$2:$X$224,15,FALSE))</x:f>
        <x:v>BL-C-02,BL-F-01</x:v>
      </x:c>
      <x:c r="C84" s="13" t="n">
        <x:f>VLOOKUP(A84,'Tasks'!$A$2:$X$224,12,FALSE)</x:f>
        <x:v>46312</x:v>
      </x:c>
      <x:c r="D84" s="2" t="n">
        <x:f>IF(B84="",0,LEN(B84)-LEN(SUBSTITUTE(B84,",",""))+1)</x:f>
        <x:v>2</x:v>
      </x:c>
      <x:c r="E84" s="14" t="n">
        <x:f>MAX(P84:W84)</x:f>
        <x:v>46308</x:v>
      </x:c>
      <x:c r="F84" s="2" t="n">
        <x:f>COUNTIFS(P84:W84,"BAD ID")</x:f>
        <x:v>0</x:v>
      </x:c>
      <x:c r="G84" s="2" t="str">
        <x:f>IF(D84&gt;8,"TOO MANY",IF(F84&gt;0,"BAD ID",IF(C84&gt;=E84,"OK","LATE")))</x:f>
        <x:v>OK</x:v>
      </x:c>
      <x:c r="H84" s="2" t="str">
        <x:f>TRIM(MID(SUBSTITUTE($B84,",",REPT(" ",100)),1,100))</x:f>
        <x:v>BL-C-02</x:v>
      </x:c>
      <x:c r="I84" s="2" t="str">
        <x:f>TRIM(MID(SUBSTITUTE($B84,",",REPT(" ",100)),101,100))</x:f>
        <x:v>BL-F-01</x:v>
      </x:c>
      <x:c r="J84" s="2" t="str">
        <x:f>TRIM(MID(SUBSTITUTE($B84,",",REPT(" ",100)),201,100))</x:f>
      </x:c>
      <x:c r="K84" s="2" t="str">
        <x:f>TRIM(MID(SUBSTITUTE($B84,",",REPT(" ",100)),301,100))</x:f>
      </x:c>
      <x:c r="L84" s="2" t="str">
        <x:f>TRIM(MID(SUBSTITUTE($B84,",",REPT(" ",100)),401,100))</x:f>
      </x:c>
      <x:c r="M84" s="2" t="str">
        <x:f>TRIM(MID(SUBSTITUTE($B84,",",REPT(" ",100)),501,100))</x:f>
      </x:c>
      <x:c r="N84" s="2" t="str">
        <x:f>TRIM(MID(SUBSTITUTE($B84,",",REPT(" ",100)),601,100))</x:f>
      </x:c>
      <x:c r="O84" s="2" t="str">
        <x:f>TRIM(MID(SUBSTITUTE($B84,",",REPT(" ",100)),701,100))</x:f>
      </x:c>
      <x:c r="P84" s="14" t="n">
        <x:f>IF(H84="",0,IF(COUNTIFS('Tasks'!$A$2:$A$224,H84)=1,INDEX('Tasks'!$M$2:$M$224,MATCH(H84,'Tasks'!$A$2:$A$224,0)),"BAD ID"))</x:f>
        <x:v>46308</x:v>
      </x:c>
      <x:c r="Q84" s="14" t="n">
        <x:f>IF(I84="",0,IF(COUNTIFS('Tasks'!$A$2:$A$224,I84)=1,INDEX('Tasks'!$M$2:$M$224,MATCH(I84,'Tasks'!$A$2:$A$224,0)),"BAD ID"))</x:f>
        <x:v>46307</x:v>
      </x:c>
      <x:c r="R84" s="14" t="n">
        <x:f>IF(J84="",0,IF(COUNTIFS('Tasks'!$A$2:$A$224,J84)=1,INDEX('Tasks'!$M$2:$M$224,MATCH(J84,'Tasks'!$A$2:$A$224,0)),"BAD ID"))</x:f>
        <x:v>0</x:v>
      </x:c>
      <x:c r="S84" s="14" t="n">
        <x:f>IF(K84="",0,IF(COUNTIFS('Tasks'!$A$2:$A$224,K84)=1,INDEX('Tasks'!$M$2:$M$224,MATCH(K84,'Tasks'!$A$2:$A$224,0)),"BAD ID"))</x:f>
        <x:v>0</x:v>
      </x:c>
      <x:c r="T84" s="14" t="n">
        <x:f>IF(L84="",0,IF(COUNTIFS('Tasks'!$A$2:$A$224,L84)=1,INDEX('Tasks'!$M$2:$M$224,MATCH(L84,'Tasks'!$A$2:$A$224,0)),"BAD ID"))</x:f>
        <x:v>0</x:v>
      </x:c>
      <x:c r="U84" s="14" t="n">
        <x:f>IF(M84="",0,IF(COUNTIFS('Tasks'!$A$2:$A$224,M84)=1,INDEX('Tasks'!$M$2:$M$224,MATCH(M84,'Tasks'!$A$2:$A$224,0)),"BAD ID"))</x:f>
        <x:v>0</x:v>
      </x:c>
      <x:c r="V84" s="14" t="n">
        <x:f>IF(N84="",0,IF(COUNTIFS('Tasks'!$A$2:$A$224,N84)=1,INDEX('Tasks'!$M$2:$M$224,MATCH(N84,'Tasks'!$A$2:$A$224,0)),"BAD ID"))</x:f>
        <x:v>0</x:v>
      </x:c>
      <x:c r="W84" s="14" t="n">
        <x:f>IF(O84="",0,IF(COUNTIFS('Tasks'!$A$2:$A$224,O84)=1,INDEX('Tasks'!$M$2:$M$224,MATCH(O84,'Tasks'!$A$2:$A$224,0)),"BAD ID"))</x:f>
        <x:v>0</x:v>
      </x:c>
    </x:row>
    <x:row r="85" ht="28" customHeight="1">
      <x:c r="A85" s="2" t="str">
        <x:v>E4-02</x:v>
      </x:c>
      <x:c r="B85" s="2" t="str">
        <x:f>IF(VLOOKUP(A85,'Tasks'!$A$2:$X$224,15,FALSE)="","",VLOOKUP(A85,'Tasks'!$A$2:$X$224,15,FALSE))</x:f>
        <x:v>E4-01</x:v>
      </x:c>
      <x:c r="C85" s="13" t="n">
        <x:f>VLOOKUP(A85,'Tasks'!$A$2:$X$224,12,FALSE)</x:f>
        <x:v>46313</x:v>
      </x:c>
      <x:c r="D85" s="2" t="n">
        <x:f>IF(B85="",0,LEN(B85)-LEN(SUBSTITUTE(B85,",",""))+1)</x:f>
        <x:v>1</x:v>
      </x:c>
      <x:c r="E85" s="14" t="n">
        <x:f>MAX(P85:W85)</x:f>
        <x:v>46312</x:v>
      </x:c>
      <x:c r="F85" s="2" t="n">
        <x:f>COUNTIFS(P85:W85,"BAD ID")</x:f>
        <x:v>0</x:v>
      </x:c>
      <x:c r="G85" s="2" t="str">
        <x:f>IF(D85&gt;8,"TOO MANY",IF(F85&gt;0,"BAD ID",IF(C85&gt;=E85,"OK","LATE")))</x:f>
        <x:v>OK</x:v>
      </x:c>
      <x:c r="H85" s="2" t="str">
        <x:f>TRIM(MID(SUBSTITUTE($B85,",",REPT(" ",100)),1,100))</x:f>
        <x:v>E4-01</x:v>
      </x:c>
      <x:c r="I85" s="2" t="str">
        <x:f>TRIM(MID(SUBSTITUTE($B85,",",REPT(" ",100)),101,100))</x:f>
      </x:c>
      <x:c r="J85" s="2" t="str">
        <x:f>TRIM(MID(SUBSTITUTE($B85,",",REPT(" ",100)),201,100))</x:f>
      </x:c>
      <x:c r="K85" s="2" t="str">
        <x:f>TRIM(MID(SUBSTITUTE($B85,",",REPT(" ",100)),301,100))</x:f>
      </x:c>
      <x:c r="L85" s="2" t="str">
        <x:f>TRIM(MID(SUBSTITUTE($B85,",",REPT(" ",100)),401,100))</x:f>
      </x:c>
      <x:c r="M85" s="2" t="str">
        <x:f>TRIM(MID(SUBSTITUTE($B85,",",REPT(" ",100)),501,100))</x:f>
      </x:c>
      <x:c r="N85" s="2" t="str">
        <x:f>TRIM(MID(SUBSTITUTE($B85,",",REPT(" ",100)),601,100))</x:f>
      </x:c>
      <x:c r="O85" s="2" t="str">
        <x:f>TRIM(MID(SUBSTITUTE($B85,",",REPT(" ",100)),701,100))</x:f>
      </x:c>
      <x:c r="P85" s="14" t="n">
        <x:f>IF(H85="",0,IF(COUNTIFS('Tasks'!$A$2:$A$224,H85)=1,INDEX('Tasks'!$M$2:$M$224,MATCH(H85,'Tasks'!$A$2:$A$224,0)),"BAD ID"))</x:f>
        <x:v>46312</x:v>
      </x:c>
      <x:c r="Q85" s="14" t="n">
        <x:f>IF(I85="",0,IF(COUNTIFS('Tasks'!$A$2:$A$224,I85)=1,INDEX('Tasks'!$M$2:$M$224,MATCH(I85,'Tasks'!$A$2:$A$224,0)),"BAD ID"))</x:f>
        <x:v>0</x:v>
      </x:c>
      <x:c r="R85" s="14" t="n">
        <x:f>IF(J85="",0,IF(COUNTIFS('Tasks'!$A$2:$A$224,J85)=1,INDEX('Tasks'!$M$2:$M$224,MATCH(J85,'Tasks'!$A$2:$A$224,0)),"BAD ID"))</x:f>
        <x:v>0</x:v>
      </x:c>
      <x:c r="S85" s="14" t="n">
        <x:f>IF(K85="",0,IF(COUNTIFS('Tasks'!$A$2:$A$224,K85)=1,INDEX('Tasks'!$M$2:$M$224,MATCH(K85,'Tasks'!$A$2:$A$224,0)),"BAD ID"))</x:f>
        <x:v>0</x:v>
      </x:c>
      <x:c r="T85" s="14" t="n">
        <x:f>IF(L85="",0,IF(COUNTIFS('Tasks'!$A$2:$A$224,L85)=1,INDEX('Tasks'!$M$2:$M$224,MATCH(L85,'Tasks'!$A$2:$A$224,0)),"BAD ID"))</x:f>
        <x:v>0</x:v>
      </x:c>
      <x:c r="U85" s="14" t="n">
        <x:f>IF(M85="",0,IF(COUNTIFS('Tasks'!$A$2:$A$224,M85)=1,INDEX('Tasks'!$M$2:$M$224,MATCH(M85,'Tasks'!$A$2:$A$224,0)),"BAD ID"))</x:f>
        <x:v>0</x:v>
      </x:c>
      <x:c r="V85" s="14" t="n">
        <x:f>IF(N85="",0,IF(COUNTIFS('Tasks'!$A$2:$A$224,N85)=1,INDEX('Tasks'!$M$2:$M$224,MATCH(N85,'Tasks'!$A$2:$A$224,0)),"BAD ID"))</x:f>
        <x:v>0</x:v>
      </x:c>
      <x:c r="W85" s="14" t="n">
        <x:f>IF(O85="",0,IF(COUNTIFS('Tasks'!$A$2:$A$224,O85)=1,INDEX('Tasks'!$M$2:$M$224,MATCH(O85,'Tasks'!$A$2:$A$224,0)),"BAD ID"))</x:f>
        <x:v>0</x:v>
      </x:c>
    </x:row>
    <x:row r="86" ht="28" customHeight="1">
      <x:c r="A86" s="2" t="str">
        <x:v>E4-03</x:v>
      </x:c>
      <x:c r="B86" s="2" t="str">
        <x:f>IF(VLOOKUP(A86,'Tasks'!$A$2:$X$224,15,FALSE)="","",VLOOKUP(A86,'Tasks'!$A$2:$X$224,15,FALSE))</x:f>
        <x:v>E4-02</x:v>
      </x:c>
      <x:c r="C86" s="13" t="n">
        <x:f>VLOOKUP(A86,'Tasks'!$A$2:$X$224,12,FALSE)</x:f>
        <x:v>46314</x:v>
      </x:c>
      <x:c r="D86" s="2" t="n">
        <x:f>IF(B86="",0,LEN(B86)-LEN(SUBSTITUTE(B86,",",""))+1)</x:f>
        <x:v>1</x:v>
      </x:c>
      <x:c r="E86" s="14" t="n">
        <x:f>MAX(P86:W86)</x:f>
        <x:v>46313</x:v>
      </x:c>
      <x:c r="F86" s="2" t="n">
        <x:f>COUNTIFS(P86:W86,"BAD ID")</x:f>
        <x:v>0</x:v>
      </x:c>
      <x:c r="G86" s="2" t="str">
        <x:f>IF(D86&gt;8,"TOO MANY",IF(F86&gt;0,"BAD ID",IF(C86&gt;=E86,"OK","LATE")))</x:f>
        <x:v>OK</x:v>
      </x:c>
      <x:c r="H86" s="2" t="str">
        <x:f>TRIM(MID(SUBSTITUTE($B86,",",REPT(" ",100)),1,100))</x:f>
        <x:v>E4-02</x:v>
      </x:c>
      <x:c r="I86" s="2" t="str">
        <x:f>TRIM(MID(SUBSTITUTE($B86,",",REPT(" ",100)),101,100))</x:f>
      </x:c>
      <x:c r="J86" s="2" t="str">
        <x:f>TRIM(MID(SUBSTITUTE($B86,",",REPT(" ",100)),201,100))</x:f>
      </x:c>
      <x:c r="K86" s="2" t="str">
        <x:f>TRIM(MID(SUBSTITUTE($B86,",",REPT(" ",100)),301,100))</x:f>
      </x:c>
      <x:c r="L86" s="2" t="str">
        <x:f>TRIM(MID(SUBSTITUTE($B86,",",REPT(" ",100)),401,100))</x:f>
      </x:c>
      <x:c r="M86" s="2" t="str">
        <x:f>TRIM(MID(SUBSTITUTE($B86,",",REPT(" ",100)),501,100))</x:f>
      </x:c>
      <x:c r="N86" s="2" t="str">
        <x:f>TRIM(MID(SUBSTITUTE($B86,",",REPT(" ",100)),601,100))</x:f>
      </x:c>
      <x:c r="O86" s="2" t="str">
        <x:f>TRIM(MID(SUBSTITUTE($B86,",",REPT(" ",100)),701,100))</x:f>
      </x:c>
      <x:c r="P86" s="14" t="n">
        <x:f>IF(H86="",0,IF(COUNTIFS('Tasks'!$A$2:$A$224,H86)=1,INDEX('Tasks'!$M$2:$M$224,MATCH(H86,'Tasks'!$A$2:$A$224,0)),"BAD ID"))</x:f>
        <x:v>46313</x:v>
      </x:c>
      <x:c r="Q86" s="14" t="n">
        <x:f>IF(I86="",0,IF(COUNTIFS('Tasks'!$A$2:$A$224,I86)=1,INDEX('Tasks'!$M$2:$M$224,MATCH(I86,'Tasks'!$A$2:$A$224,0)),"BAD ID"))</x:f>
        <x:v>0</x:v>
      </x:c>
      <x:c r="R86" s="14" t="n">
        <x:f>IF(J86="",0,IF(COUNTIFS('Tasks'!$A$2:$A$224,J86)=1,INDEX('Tasks'!$M$2:$M$224,MATCH(J86,'Tasks'!$A$2:$A$224,0)),"BAD ID"))</x:f>
        <x:v>0</x:v>
      </x:c>
      <x:c r="S86" s="14" t="n">
        <x:f>IF(K86="",0,IF(COUNTIFS('Tasks'!$A$2:$A$224,K86)=1,INDEX('Tasks'!$M$2:$M$224,MATCH(K86,'Tasks'!$A$2:$A$224,0)),"BAD ID"))</x:f>
        <x:v>0</x:v>
      </x:c>
      <x:c r="T86" s="14" t="n">
        <x:f>IF(L86="",0,IF(COUNTIFS('Tasks'!$A$2:$A$224,L86)=1,INDEX('Tasks'!$M$2:$M$224,MATCH(L86,'Tasks'!$A$2:$A$224,0)),"BAD ID"))</x:f>
        <x:v>0</x:v>
      </x:c>
      <x:c r="U86" s="14" t="n">
        <x:f>IF(M86="",0,IF(COUNTIFS('Tasks'!$A$2:$A$224,M86)=1,INDEX('Tasks'!$M$2:$M$224,MATCH(M86,'Tasks'!$A$2:$A$224,0)),"BAD ID"))</x:f>
        <x:v>0</x:v>
      </x:c>
      <x:c r="V86" s="14" t="n">
        <x:f>IF(N86="",0,IF(COUNTIFS('Tasks'!$A$2:$A$224,N86)=1,INDEX('Tasks'!$M$2:$M$224,MATCH(N86,'Tasks'!$A$2:$A$224,0)),"BAD ID"))</x:f>
        <x:v>0</x:v>
      </x:c>
      <x:c r="W86" s="14" t="n">
        <x:f>IF(O86="",0,IF(COUNTIFS('Tasks'!$A$2:$A$224,O86)=1,INDEX('Tasks'!$M$2:$M$224,MATCH(O86,'Tasks'!$A$2:$A$224,0)),"BAD ID"))</x:f>
        <x:v>0</x:v>
      </x:c>
    </x:row>
    <x:row r="87" ht="28" customHeight="1">
      <x:c r="A87" s="2" t="str">
        <x:v>E4-04</x:v>
      </x:c>
      <x:c r="B87" s="2" t="str">
        <x:f>IF(VLOOKUP(A87,'Tasks'!$A$2:$X$224,15,FALSE)="","",VLOOKUP(A87,'Tasks'!$A$2:$X$224,15,FALSE))</x:f>
        <x:v>E4-01,BL-F-04</x:v>
      </x:c>
      <x:c r="C87" s="13" t="n">
        <x:f>VLOOKUP(A87,'Tasks'!$A$2:$X$224,12,FALSE)</x:f>
        <x:v>46313</x:v>
      </x:c>
      <x:c r="D87" s="2" t="n">
        <x:f>IF(B87="",0,LEN(B87)-LEN(SUBSTITUTE(B87,",",""))+1)</x:f>
        <x:v>2</x:v>
      </x:c>
      <x:c r="E87" s="14" t="n">
        <x:f>MAX(P87:W87)</x:f>
        <x:v>46312</x:v>
      </x:c>
      <x:c r="F87" s="2" t="n">
        <x:f>COUNTIFS(P87:W87,"BAD ID")</x:f>
        <x:v>0</x:v>
      </x:c>
      <x:c r="G87" s="2" t="str">
        <x:f>IF(D87&gt;8,"TOO MANY",IF(F87&gt;0,"BAD ID",IF(C87&gt;=E87,"OK","LATE")))</x:f>
        <x:v>OK</x:v>
      </x:c>
      <x:c r="H87" s="2" t="str">
        <x:f>TRIM(MID(SUBSTITUTE($B87,",",REPT(" ",100)),1,100))</x:f>
        <x:v>E4-01</x:v>
      </x:c>
      <x:c r="I87" s="2" t="str">
        <x:f>TRIM(MID(SUBSTITUTE($B87,",",REPT(" ",100)),101,100))</x:f>
        <x:v>BL-F-04</x:v>
      </x:c>
      <x:c r="J87" s="2" t="str">
        <x:f>TRIM(MID(SUBSTITUTE($B87,",",REPT(" ",100)),201,100))</x:f>
      </x:c>
      <x:c r="K87" s="2" t="str">
        <x:f>TRIM(MID(SUBSTITUTE($B87,",",REPT(" ",100)),301,100))</x:f>
      </x:c>
      <x:c r="L87" s="2" t="str">
        <x:f>TRIM(MID(SUBSTITUTE($B87,",",REPT(" ",100)),401,100))</x:f>
      </x:c>
      <x:c r="M87" s="2" t="str">
        <x:f>TRIM(MID(SUBSTITUTE($B87,",",REPT(" ",100)),501,100))</x:f>
      </x:c>
      <x:c r="N87" s="2" t="str">
        <x:f>TRIM(MID(SUBSTITUTE($B87,",",REPT(" ",100)),601,100))</x:f>
      </x:c>
      <x:c r="O87" s="2" t="str">
        <x:f>TRIM(MID(SUBSTITUTE($B87,",",REPT(" ",100)),701,100))</x:f>
      </x:c>
      <x:c r="P87" s="14" t="n">
        <x:f>IF(H87="",0,IF(COUNTIFS('Tasks'!$A$2:$A$224,H87)=1,INDEX('Tasks'!$M$2:$M$224,MATCH(H87,'Tasks'!$A$2:$A$224,0)),"BAD ID"))</x:f>
        <x:v>46312</x:v>
      </x:c>
      <x:c r="Q87" s="14" t="n">
        <x:f>IF(I87="",0,IF(COUNTIFS('Tasks'!$A$2:$A$224,I87)=1,INDEX('Tasks'!$M$2:$M$224,MATCH(I87,'Tasks'!$A$2:$A$224,0)),"BAD ID"))</x:f>
        <x:v>46311</x:v>
      </x:c>
      <x:c r="R87" s="14" t="n">
        <x:f>IF(J87="",0,IF(COUNTIFS('Tasks'!$A$2:$A$224,J87)=1,INDEX('Tasks'!$M$2:$M$224,MATCH(J87,'Tasks'!$A$2:$A$224,0)),"BAD ID"))</x:f>
        <x:v>0</x:v>
      </x:c>
      <x:c r="S87" s="14" t="n">
        <x:f>IF(K87="",0,IF(COUNTIFS('Tasks'!$A$2:$A$224,K87)=1,INDEX('Tasks'!$M$2:$M$224,MATCH(K87,'Tasks'!$A$2:$A$224,0)),"BAD ID"))</x:f>
        <x:v>0</x:v>
      </x:c>
      <x:c r="T87" s="14" t="n">
        <x:f>IF(L87="",0,IF(COUNTIFS('Tasks'!$A$2:$A$224,L87)=1,INDEX('Tasks'!$M$2:$M$224,MATCH(L87,'Tasks'!$A$2:$A$224,0)),"BAD ID"))</x:f>
        <x:v>0</x:v>
      </x:c>
      <x:c r="U87" s="14" t="n">
        <x:f>IF(M87="",0,IF(COUNTIFS('Tasks'!$A$2:$A$224,M87)=1,INDEX('Tasks'!$M$2:$M$224,MATCH(M87,'Tasks'!$A$2:$A$224,0)),"BAD ID"))</x:f>
        <x:v>0</x:v>
      </x:c>
      <x:c r="V87" s="14" t="n">
        <x:f>IF(N87="",0,IF(COUNTIFS('Tasks'!$A$2:$A$224,N87)=1,INDEX('Tasks'!$M$2:$M$224,MATCH(N87,'Tasks'!$A$2:$A$224,0)),"BAD ID"))</x:f>
        <x:v>0</x:v>
      </x:c>
      <x:c r="W87" s="14" t="n">
        <x:f>IF(O87="",0,IF(COUNTIFS('Tasks'!$A$2:$A$224,O87)=1,INDEX('Tasks'!$M$2:$M$224,MATCH(O87,'Tasks'!$A$2:$A$224,0)),"BAD ID"))</x:f>
        <x:v>0</x:v>
      </x:c>
    </x:row>
    <x:row r="88" ht="28" customHeight="1">
      <x:c r="A88" s="2" t="str">
        <x:v>E4-05</x:v>
      </x:c>
      <x:c r="B88" s="2" t="str">
        <x:f>IF(VLOOKUP(A88,'Tasks'!$A$2:$X$224,15,FALSE)="","",VLOOKUP(A88,'Tasks'!$A$2:$X$224,15,FALSE))</x:f>
        <x:v>E4-04,BL-C-04</x:v>
      </x:c>
      <x:c r="C88" s="13" t="n">
        <x:f>VLOOKUP(A88,'Tasks'!$A$2:$X$224,12,FALSE)</x:f>
        <x:v>46314</x:v>
      </x:c>
      <x:c r="D88" s="2" t="n">
        <x:f>IF(B88="",0,LEN(B88)-LEN(SUBSTITUTE(B88,",",""))+1)</x:f>
        <x:v>2</x:v>
      </x:c>
      <x:c r="E88" s="14" t="n">
        <x:f>MAX(P88:W88)</x:f>
        <x:v>46313</x:v>
      </x:c>
      <x:c r="F88" s="2" t="n">
        <x:f>COUNTIFS(P88:W88,"BAD ID")</x:f>
        <x:v>0</x:v>
      </x:c>
      <x:c r="G88" s="2" t="str">
        <x:f>IF(D88&gt;8,"TOO MANY",IF(F88&gt;0,"BAD ID",IF(C88&gt;=E88,"OK","LATE")))</x:f>
        <x:v>OK</x:v>
      </x:c>
      <x:c r="H88" s="2" t="str">
        <x:f>TRIM(MID(SUBSTITUTE($B88,",",REPT(" ",100)),1,100))</x:f>
        <x:v>E4-04</x:v>
      </x:c>
      <x:c r="I88" s="2" t="str">
        <x:f>TRIM(MID(SUBSTITUTE($B88,",",REPT(" ",100)),101,100))</x:f>
        <x:v>BL-C-04</x:v>
      </x:c>
      <x:c r="J88" s="2" t="str">
        <x:f>TRIM(MID(SUBSTITUTE($B88,",",REPT(" ",100)),201,100))</x:f>
      </x:c>
      <x:c r="K88" s="2" t="str">
        <x:f>TRIM(MID(SUBSTITUTE($B88,",",REPT(" ",100)),301,100))</x:f>
      </x:c>
      <x:c r="L88" s="2" t="str">
        <x:f>TRIM(MID(SUBSTITUTE($B88,",",REPT(" ",100)),401,100))</x:f>
      </x:c>
      <x:c r="M88" s="2" t="str">
        <x:f>TRIM(MID(SUBSTITUTE($B88,",",REPT(" ",100)),501,100))</x:f>
      </x:c>
      <x:c r="N88" s="2" t="str">
        <x:f>TRIM(MID(SUBSTITUTE($B88,",",REPT(" ",100)),601,100))</x:f>
      </x:c>
      <x:c r="O88" s="2" t="str">
        <x:f>TRIM(MID(SUBSTITUTE($B88,",",REPT(" ",100)),701,100))</x:f>
      </x:c>
      <x:c r="P88" s="14" t="n">
        <x:f>IF(H88="",0,IF(COUNTIFS('Tasks'!$A$2:$A$224,H88)=1,INDEX('Tasks'!$M$2:$M$224,MATCH(H88,'Tasks'!$A$2:$A$224,0)),"BAD ID"))</x:f>
        <x:v>46313</x:v>
      </x:c>
      <x:c r="Q88" s="14" t="n">
        <x:f>IF(I88="",0,IF(COUNTIFS('Tasks'!$A$2:$A$224,I88)=1,INDEX('Tasks'!$M$2:$M$224,MATCH(I88,'Tasks'!$A$2:$A$224,0)),"BAD ID"))</x:f>
        <x:v>46310</x:v>
      </x:c>
      <x:c r="R88" s="14" t="n">
        <x:f>IF(J88="",0,IF(COUNTIFS('Tasks'!$A$2:$A$224,J88)=1,INDEX('Tasks'!$M$2:$M$224,MATCH(J88,'Tasks'!$A$2:$A$224,0)),"BAD ID"))</x:f>
        <x:v>0</x:v>
      </x:c>
      <x:c r="S88" s="14" t="n">
        <x:f>IF(K88="",0,IF(COUNTIFS('Tasks'!$A$2:$A$224,K88)=1,INDEX('Tasks'!$M$2:$M$224,MATCH(K88,'Tasks'!$A$2:$A$224,0)),"BAD ID"))</x:f>
        <x:v>0</x:v>
      </x:c>
      <x:c r="T88" s="14" t="n">
        <x:f>IF(L88="",0,IF(COUNTIFS('Tasks'!$A$2:$A$224,L88)=1,INDEX('Tasks'!$M$2:$M$224,MATCH(L88,'Tasks'!$A$2:$A$224,0)),"BAD ID"))</x:f>
        <x:v>0</x:v>
      </x:c>
      <x:c r="U88" s="14" t="n">
        <x:f>IF(M88="",0,IF(COUNTIFS('Tasks'!$A$2:$A$224,M88)=1,INDEX('Tasks'!$M$2:$M$224,MATCH(M88,'Tasks'!$A$2:$A$224,0)),"BAD ID"))</x:f>
        <x:v>0</x:v>
      </x:c>
      <x:c r="V88" s="14" t="n">
        <x:f>IF(N88="",0,IF(COUNTIFS('Tasks'!$A$2:$A$224,N88)=1,INDEX('Tasks'!$M$2:$M$224,MATCH(N88,'Tasks'!$A$2:$A$224,0)),"BAD ID"))</x:f>
        <x:v>0</x:v>
      </x:c>
      <x:c r="W88" s="14" t="n">
        <x:f>IF(O88="",0,IF(COUNTIFS('Tasks'!$A$2:$A$224,O88)=1,INDEX('Tasks'!$M$2:$M$224,MATCH(O88,'Tasks'!$A$2:$A$224,0)),"BAD ID"))</x:f>
        <x:v>0</x:v>
      </x:c>
    </x:row>
    <x:row r="89" ht="28" customHeight="1">
      <x:c r="A89" s="2" t="str">
        <x:v>E4-06</x:v>
      </x:c>
      <x:c r="B89" s="2" t="str">
        <x:f>IF(VLOOKUP(A89,'Tasks'!$A$2:$X$224,15,FALSE)="","",VLOOKUP(A89,'Tasks'!$A$2:$X$224,15,FALSE))</x:f>
        <x:v>E4-03,E4-05</x:v>
      </x:c>
      <x:c r="C89" s="13" t="n">
        <x:f>VLOOKUP(A89,'Tasks'!$A$2:$X$224,12,FALSE)</x:f>
        <x:v>46315</x:v>
      </x:c>
      <x:c r="D89" s="2" t="n">
        <x:f>IF(B89="",0,LEN(B89)-LEN(SUBSTITUTE(B89,",",""))+1)</x:f>
        <x:v>2</x:v>
      </x:c>
      <x:c r="E89" s="14" t="n">
        <x:f>MAX(P89:W89)</x:f>
        <x:v>46314</x:v>
      </x:c>
      <x:c r="F89" s="2" t="n">
        <x:f>COUNTIFS(P89:W89,"BAD ID")</x:f>
        <x:v>0</x:v>
      </x:c>
      <x:c r="G89" s="2" t="str">
        <x:f>IF(D89&gt;8,"TOO MANY",IF(F89&gt;0,"BAD ID",IF(C89&gt;=E89,"OK","LATE")))</x:f>
        <x:v>OK</x:v>
      </x:c>
      <x:c r="H89" s="2" t="str">
        <x:f>TRIM(MID(SUBSTITUTE($B89,",",REPT(" ",100)),1,100))</x:f>
        <x:v>E4-03</x:v>
      </x:c>
      <x:c r="I89" s="2" t="str">
        <x:f>TRIM(MID(SUBSTITUTE($B89,",",REPT(" ",100)),101,100))</x:f>
        <x:v>E4-05</x:v>
      </x:c>
      <x:c r="J89" s="2" t="str">
        <x:f>TRIM(MID(SUBSTITUTE($B89,",",REPT(" ",100)),201,100))</x:f>
      </x:c>
      <x:c r="K89" s="2" t="str">
        <x:f>TRIM(MID(SUBSTITUTE($B89,",",REPT(" ",100)),301,100))</x:f>
      </x:c>
      <x:c r="L89" s="2" t="str">
        <x:f>TRIM(MID(SUBSTITUTE($B89,",",REPT(" ",100)),401,100))</x:f>
      </x:c>
      <x:c r="M89" s="2" t="str">
        <x:f>TRIM(MID(SUBSTITUTE($B89,",",REPT(" ",100)),501,100))</x:f>
      </x:c>
      <x:c r="N89" s="2" t="str">
        <x:f>TRIM(MID(SUBSTITUTE($B89,",",REPT(" ",100)),601,100))</x:f>
      </x:c>
      <x:c r="O89" s="2" t="str">
        <x:f>TRIM(MID(SUBSTITUTE($B89,",",REPT(" ",100)),701,100))</x:f>
      </x:c>
      <x:c r="P89" s="14" t="n">
        <x:f>IF(H89="",0,IF(COUNTIFS('Tasks'!$A$2:$A$224,H89)=1,INDEX('Tasks'!$M$2:$M$224,MATCH(H89,'Tasks'!$A$2:$A$224,0)),"BAD ID"))</x:f>
        <x:v>46314</x:v>
      </x:c>
      <x:c r="Q89" s="14" t="n">
        <x:f>IF(I89="",0,IF(COUNTIFS('Tasks'!$A$2:$A$224,I89)=1,INDEX('Tasks'!$M$2:$M$224,MATCH(I89,'Tasks'!$A$2:$A$224,0)),"BAD ID"))</x:f>
        <x:v>46314</x:v>
      </x:c>
      <x:c r="R89" s="14" t="n">
        <x:f>IF(J89="",0,IF(COUNTIFS('Tasks'!$A$2:$A$224,J89)=1,INDEX('Tasks'!$M$2:$M$224,MATCH(J89,'Tasks'!$A$2:$A$224,0)),"BAD ID"))</x:f>
        <x:v>0</x:v>
      </x:c>
      <x:c r="S89" s="14" t="n">
        <x:f>IF(K89="",0,IF(COUNTIFS('Tasks'!$A$2:$A$224,K89)=1,INDEX('Tasks'!$M$2:$M$224,MATCH(K89,'Tasks'!$A$2:$A$224,0)),"BAD ID"))</x:f>
        <x:v>0</x:v>
      </x:c>
      <x:c r="T89" s="14" t="n">
        <x:f>IF(L89="",0,IF(COUNTIFS('Tasks'!$A$2:$A$224,L89)=1,INDEX('Tasks'!$M$2:$M$224,MATCH(L89,'Tasks'!$A$2:$A$224,0)),"BAD ID"))</x:f>
        <x:v>0</x:v>
      </x:c>
      <x:c r="U89" s="14" t="n">
        <x:f>IF(M89="",0,IF(COUNTIFS('Tasks'!$A$2:$A$224,M89)=1,INDEX('Tasks'!$M$2:$M$224,MATCH(M89,'Tasks'!$A$2:$A$224,0)),"BAD ID"))</x:f>
        <x:v>0</x:v>
      </x:c>
      <x:c r="V89" s="14" t="n">
        <x:f>IF(N89="",0,IF(COUNTIFS('Tasks'!$A$2:$A$224,N89)=1,INDEX('Tasks'!$M$2:$M$224,MATCH(N89,'Tasks'!$A$2:$A$224,0)),"BAD ID"))</x:f>
        <x:v>0</x:v>
      </x:c>
      <x:c r="W89" s="14" t="n">
        <x:f>IF(O89="",0,IF(COUNTIFS('Tasks'!$A$2:$A$224,O89)=1,INDEX('Tasks'!$M$2:$M$224,MATCH(O89,'Tasks'!$A$2:$A$224,0)),"BAD ID"))</x:f>
        <x:v>0</x:v>
      </x:c>
    </x:row>
    <x:row r="90" ht="28" customHeight="1">
      <x:c r="A90" s="2" t="str">
        <x:v>E4-07</x:v>
      </x:c>
      <x:c r="B90" s="2" t="str">
        <x:f>IF(VLOOKUP(A90,'Tasks'!$A$2:$X$224,15,FALSE)="","",VLOOKUP(A90,'Tasks'!$A$2:$X$224,15,FALSE))</x:f>
        <x:v>E4-05,E4-06</x:v>
      </x:c>
      <x:c r="C90" s="13" t="n">
        <x:f>VLOOKUP(A90,'Tasks'!$A$2:$X$224,12,FALSE)</x:f>
        <x:v>46316</x:v>
      </x:c>
      <x:c r="D90" s="2" t="n">
        <x:f>IF(B90="",0,LEN(B90)-LEN(SUBSTITUTE(B90,",",""))+1)</x:f>
        <x:v>2</x:v>
      </x:c>
      <x:c r="E90" s="14" t="n">
        <x:f>MAX(P90:W90)</x:f>
        <x:v>46315</x:v>
      </x:c>
      <x:c r="F90" s="2" t="n">
        <x:f>COUNTIFS(P90:W90,"BAD ID")</x:f>
        <x:v>0</x:v>
      </x:c>
      <x:c r="G90" s="2" t="str">
        <x:f>IF(D90&gt;8,"TOO MANY",IF(F90&gt;0,"BAD ID",IF(C90&gt;=E90,"OK","LATE")))</x:f>
        <x:v>OK</x:v>
      </x:c>
      <x:c r="H90" s="2" t="str">
        <x:f>TRIM(MID(SUBSTITUTE($B90,",",REPT(" ",100)),1,100))</x:f>
        <x:v>E4-05</x:v>
      </x:c>
      <x:c r="I90" s="2" t="str">
        <x:f>TRIM(MID(SUBSTITUTE($B90,",",REPT(" ",100)),101,100))</x:f>
        <x:v>E4-06</x:v>
      </x:c>
      <x:c r="J90" s="2" t="str">
        <x:f>TRIM(MID(SUBSTITUTE($B90,",",REPT(" ",100)),201,100))</x:f>
      </x:c>
      <x:c r="K90" s="2" t="str">
        <x:f>TRIM(MID(SUBSTITUTE($B90,",",REPT(" ",100)),301,100))</x:f>
      </x:c>
      <x:c r="L90" s="2" t="str">
        <x:f>TRIM(MID(SUBSTITUTE($B90,",",REPT(" ",100)),401,100))</x:f>
      </x:c>
      <x:c r="M90" s="2" t="str">
        <x:f>TRIM(MID(SUBSTITUTE($B90,",",REPT(" ",100)),501,100))</x:f>
      </x:c>
      <x:c r="N90" s="2" t="str">
        <x:f>TRIM(MID(SUBSTITUTE($B90,",",REPT(" ",100)),601,100))</x:f>
      </x:c>
      <x:c r="O90" s="2" t="str">
        <x:f>TRIM(MID(SUBSTITUTE($B90,",",REPT(" ",100)),701,100))</x:f>
      </x:c>
      <x:c r="P90" s="14" t="n">
        <x:f>IF(H90="",0,IF(COUNTIFS('Tasks'!$A$2:$A$224,H90)=1,INDEX('Tasks'!$M$2:$M$224,MATCH(H90,'Tasks'!$A$2:$A$224,0)),"BAD ID"))</x:f>
        <x:v>46314</x:v>
      </x:c>
      <x:c r="Q90" s="14" t="n">
        <x:f>IF(I90="",0,IF(COUNTIFS('Tasks'!$A$2:$A$224,I90)=1,INDEX('Tasks'!$M$2:$M$224,MATCH(I90,'Tasks'!$A$2:$A$224,0)),"BAD ID"))</x:f>
        <x:v>46315</x:v>
      </x:c>
      <x:c r="R90" s="14" t="n">
        <x:f>IF(J90="",0,IF(COUNTIFS('Tasks'!$A$2:$A$224,J90)=1,INDEX('Tasks'!$M$2:$M$224,MATCH(J90,'Tasks'!$A$2:$A$224,0)),"BAD ID"))</x:f>
        <x:v>0</x:v>
      </x:c>
      <x:c r="S90" s="14" t="n">
        <x:f>IF(K90="",0,IF(COUNTIFS('Tasks'!$A$2:$A$224,K90)=1,INDEX('Tasks'!$M$2:$M$224,MATCH(K90,'Tasks'!$A$2:$A$224,0)),"BAD ID"))</x:f>
        <x:v>0</x:v>
      </x:c>
      <x:c r="T90" s="14" t="n">
        <x:f>IF(L90="",0,IF(COUNTIFS('Tasks'!$A$2:$A$224,L90)=1,INDEX('Tasks'!$M$2:$M$224,MATCH(L90,'Tasks'!$A$2:$A$224,0)),"BAD ID"))</x:f>
        <x:v>0</x:v>
      </x:c>
      <x:c r="U90" s="14" t="n">
        <x:f>IF(M90="",0,IF(COUNTIFS('Tasks'!$A$2:$A$224,M90)=1,INDEX('Tasks'!$M$2:$M$224,MATCH(M90,'Tasks'!$A$2:$A$224,0)),"BAD ID"))</x:f>
        <x:v>0</x:v>
      </x:c>
      <x:c r="V90" s="14" t="n">
        <x:f>IF(N90="",0,IF(COUNTIFS('Tasks'!$A$2:$A$224,N90)=1,INDEX('Tasks'!$M$2:$M$224,MATCH(N90,'Tasks'!$A$2:$A$224,0)),"BAD ID"))</x:f>
        <x:v>0</x:v>
      </x:c>
      <x:c r="W90" s="14" t="n">
        <x:f>IF(O90="",0,IF(COUNTIFS('Tasks'!$A$2:$A$224,O90)=1,INDEX('Tasks'!$M$2:$M$224,MATCH(O90,'Tasks'!$A$2:$A$224,0)),"BAD ID"))</x:f>
        <x:v>0</x:v>
      </x:c>
    </x:row>
    <x:row r="91" ht="28" customHeight="1">
      <x:c r="A91" s="2" t="str">
        <x:v>E4-08</x:v>
      </x:c>
      <x:c r="B91" s="2" t="str">
        <x:f>IF(VLOOKUP(A91,'Tasks'!$A$2:$X$224,15,FALSE)="","",VLOOKUP(A91,'Tasks'!$A$2:$X$224,15,FALSE))</x:f>
        <x:v>E4-06</x:v>
      </x:c>
      <x:c r="C91" s="13" t="n">
        <x:f>VLOOKUP(A91,'Tasks'!$A$2:$X$224,12,FALSE)</x:f>
        <x:v>46318</x:v>
      </x:c>
      <x:c r="D91" s="2" t="n">
        <x:f>IF(B91="",0,LEN(B91)-LEN(SUBSTITUTE(B91,",",""))+1)</x:f>
        <x:v>1</x:v>
      </x:c>
      <x:c r="E91" s="14" t="n">
        <x:f>MAX(P91:W91)</x:f>
        <x:v>46315</x:v>
      </x:c>
      <x:c r="F91" s="2" t="n">
        <x:f>COUNTIFS(P91:W91,"BAD ID")</x:f>
        <x:v>0</x:v>
      </x:c>
      <x:c r="G91" s="2" t="str">
        <x:f>IF(D91&gt;8,"TOO MANY",IF(F91&gt;0,"BAD ID",IF(C91&gt;=E91,"OK","LATE")))</x:f>
        <x:v>OK</x:v>
      </x:c>
      <x:c r="H91" s="2" t="str">
        <x:f>TRIM(MID(SUBSTITUTE($B91,",",REPT(" ",100)),1,100))</x:f>
        <x:v>E4-06</x:v>
      </x:c>
      <x:c r="I91" s="2" t="str">
        <x:f>TRIM(MID(SUBSTITUTE($B91,",",REPT(" ",100)),101,100))</x:f>
      </x:c>
      <x:c r="J91" s="2" t="str">
        <x:f>TRIM(MID(SUBSTITUTE($B91,",",REPT(" ",100)),201,100))</x:f>
      </x:c>
      <x:c r="K91" s="2" t="str">
        <x:f>TRIM(MID(SUBSTITUTE($B91,",",REPT(" ",100)),301,100))</x:f>
      </x:c>
      <x:c r="L91" s="2" t="str">
        <x:f>TRIM(MID(SUBSTITUTE($B91,",",REPT(" ",100)),401,100))</x:f>
      </x:c>
      <x:c r="M91" s="2" t="str">
        <x:f>TRIM(MID(SUBSTITUTE($B91,",",REPT(" ",100)),501,100))</x:f>
      </x:c>
      <x:c r="N91" s="2" t="str">
        <x:f>TRIM(MID(SUBSTITUTE($B91,",",REPT(" ",100)),601,100))</x:f>
      </x:c>
      <x:c r="O91" s="2" t="str">
        <x:f>TRIM(MID(SUBSTITUTE($B91,",",REPT(" ",100)),701,100))</x:f>
      </x:c>
      <x:c r="P91" s="14" t="n">
        <x:f>IF(H91="",0,IF(COUNTIFS('Tasks'!$A$2:$A$224,H91)=1,INDEX('Tasks'!$M$2:$M$224,MATCH(H91,'Tasks'!$A$2:$A$224,0)),"BAD ID"))</x:f>
        <x:v>46315</x:v>
      </x:c>
      <x:c r="Q91" s="14" t="n">
        <x:f>IF(I91="",0,IF(COUNTIFS('Tasks'!$A$2:$A$224,I91)=1,INDEX('Tasks'!$M$2:$M$224,MATCH(I91,'Tasks'!$A$2:$A$224,0)),"BAD ID"))</x:f>
        <x:v>0</x:v>
      </x:c>
      <x:c r="R91" s="14" t="n">
        <x:f>IF(J91="",0,IF(COUNTIFS('Tasks'!$A$2:$A$224,J91)=1,INDEX('Tasks'!$M$2:$M$224,MATCH(J91,'Tasks'!$A$2:$A$224,0)),"BAD ID"))</x:f>
        <x:v>0</x:v>
      </x:c>
      <x:c r="S91" s="14" t="n">
        <x:f>IF(K91="",0,IF(COUNTIFS('Tasks'!$A$2:$A$224,K91)=1,INDEX('Tasks'!$M$2:$M$224,MATCH(K91,'Tasks'!$A$2:$A$224,0)),"BAD ID"))</x:f>
        <x:v>0</x:v>
      </x:c>
      <x:c r="T91" s="14" t="n">
        <x:f>IF(L91="",0,IF(COUNTIFS('Tasks'!$A$2:$A$224,L91)=1,INDEX('Tasks'!$M$2:$M$224,MATCH(L91,'Tasks'!$A$2:$A$224,0)),"BAD ID"))</x:f>
        <x:v>0</x:v>
      </x:c>
      <x:c r="U91" s="14" t="n">
        <x:f>IF(M91="",0,IF(COUNTIFS('Tasks'!$A$2:$A$224,M91)=1,INDEX('Tasks'!$M$2:$M$224,MATCH(M91,'Tasks'!$A$2:$A$224,0)),"BAD ID"))</x:f>
        <x:v>0</x:v>
      </x:c>
      <x:c r="V91" s="14" t="n">
        <x:f>IF(N91="",0,IF(COUNTIFS('Tasks'!$A$2:$A$224,N91)=1,INDEX('Tasks'!$M$2:$M$224,MATCH(N91,'Tasks'!$A$2:$A$224,0)),"BAD ID"))</x:f>
        <x:v>0</x:v>
      </x:c>
      <x:c r="W91" s="14" t="n">
        <x:f>IF(O91="",0,IF(COUNTIFS('Tasks'!$A$2:$A$224,O91)=1,INDEX('Tasks'!$M$2:$M$224,MATCH(O91,'Tasks'!$A$2:$A$224,0)),"BAD ID"))</x:f>
        <x:v>0</x:v>
      </x:c>
    </x:row>
    <x:row r="92" ht="28" customHeight="1">
      <x:c r="A92" s="2" t="str">
        <x:v>E4-09</x:v>
      </x:c>
      <x:c r="B92" s="2" t="str">
        <x:f>IF(VLOOKUP(A92,'Tasks'!$A$2:$X$224,15,FALSE)="","",VLOOKUP(A92,'Tasks'!$A$2:$X$224,15,FALSE))</x:f>
        <x:v>E4-07,E4-08</x:v>
      </x:c>
      <x:c r="C92" s="13" t="n">
        <x:f>VLOOKUP(A92,'Tasks'!$A$2:$X$224,12,FALSE)</x:f>
        <x:v>46319</x:v>
      </x:c>
      <x:c r="D92" s="2" t="n">
        <x:f>IF(B92="",0,LEN(B92)-LEN(SUBSTITUTE(B92,",",""))+1)</x:f>
        <x:v>2</x:v>
      </x:c>
      <x:c r="E92" s="14" t="n">
        <x:f>MAX(P92:W92)</x:f>
        <x:v>46318</x:v>
      </x:c>
      <x:c r="F92" s="2" t="n">
        <x:f>COUNTIFS(P92:W92,"BAD ID")</x:f>
        <x:v>0</x:v>
      </x:c>
      <x:c r="G92" s="2" t="str">
        <x:f>IF(D92&gt;8,"TOO MANY",IF(F92&gt;0,"BAD ID",IF(C92&gt;=E92,"OK","LATE")))</x:f>
        <x:v>OK</x:v>
      </x:c>
      <x:c r="H92" s="2" t="str">
        <x:f>TRIM(MID(SUBSTITUTE($B92,",",REPT(" ",100)),1,100))</x:f>
        <x:v>E4-07</x:v>
      </x:c>
      <x:c r="I92" s="2" t="str">
        <x:f>TRIM(MID(SUBSTITUTE($B92,",",REPT(" ",100)),101,100))</x:f>
        <x:v>E4-08</x:v>
      </x:c>
      <x:c r="J92" s="2" t="str">
        <x:f>TRIM(MID(SUBSTITUTE($B92,",",REPT(" ",100)),201,100))</x:f>
      </x:c>
      <x:c r="K92" s="2" t="str">
        <x:f>TRIM(MID(SUBSTITUTE($B92,",",REPT(" ",100)),301,100))</x:f>
      </x:c>
      <x:c r="L92" s="2" t="str">
        <x:f>TRIM(MID(SUBSTITUTE($B92,",",REPT(" ",100)),401,100))</x:f>
      </x:c>
      <x:c r="M92" s="2" t="str">
        <x:f>TRIM(MID(SUBSTITUTE($B92,",",REPT(" ",100)),501,100))</x:f>
      </x:c>
      <x:c r="N92" s="2" t="str">
        <x:f>TRIM(MID(SUBSTITUTE($B92,",",REPT(" ",100)),601,100))</x:f>
      </x:c>
      <x:c r="O92" s="2" t="str">
        <x:f>TRIM(MID(SUBSTITUTE($B92,",",REPT(" ",100)),701,100))</x:f>
      </x:c>
      <x:c r="P92" s="14" t="n">
        <x:f>IF(H92="",0,IF(COUNTIFS('Tasks'!$A$2:$A$224,H92)=1,INDEX('Tasks'!$M$2:$M$224,MATCH(H92,'Tasks'!$A$2:$A$224,0)),"BAD ID"))</x:f>
        <x:v>46316</x:v>
      </x:c>
      <x:c r="Q92" s="14" t="n">
        <x:f>IF(I92="",0,IF(COUNTIFS('Tasks'!$A$2:$A$224,I92)=1,INDEX('Tasks'!$M$2:$M$224,MATCH(I92,'Tasks'!$A$2:$A$224,0)),"BAD ID"))</x:f>
        <x:v>46318</x:v>
      </x:c>
      <x:c r="R92" s="14" t="n">
        <x:f>IF(J92="",0,IF(COUNTIFS('Tasks'!$A$2:$A$224,J92)=1,INDEX('Tasks'!$M$2:$M$224,MATCH(J92,'Tasks'!$A$2:$A$224,0)),"BAD ID"))</x:f>
        <x:v>0</x:v>
      </x:c>
      <x:c r="S92" s="14" t="n">
        <x:f>IF(K92="",0,IF(COUNTIFS('Tasks'!$A$2:$A$224,K92)=1,INDEX('Tasks'!$M$2:$M$224,MATCH(K92,'Tasks'!$A$2:$A$224,0)),"BAD ID"))</x:f>
        <x:v>0</x:v>
      </x:c>
      <x:c r="T92" s="14" t="n">
        <x:f>IF(L92="",0,IF(COUNTIFS('Tasks'!$A$2:$A$224,L92)=1,INDEX('Tasks'!$M$2:$M$224,MATCH(L92,'Tasks'!$A$2:$A$224,0)),"BAD ID"))</x:f>
        <x:v>0</x:v>
      </x:c>
      <x:c r="U92" s="14" t="n">
        <x:f>IF(M92="",0,IF(COUNTIFS('Tasks'!$A$2:$A$224,M92)=1,INDEX('Tasks'!$M$2:$M$224,MATCH(M92,'Tasks'!$A$2:$A$224,0)),"BAD ID"))</x:f>
        <x:v>0</x:v>
      </x:c>
      <x:c r="V92" s="14" t="n">
        <x:f>IF(N92="",0,IF(COUNTIFS('Tasks'!$A$2:$A$224,N92)=1,INDEX('Tasks'!$M$2:$M$224,MATCH(N92,'Tasks'!$A$2:$A$224,0)),"BAD ID"))</x:f>
        <x:v>0</x:v>
      </x:c>
      <x:c r="W92" s="14" t="n">
        <x:f>IF(O92="",0,IF(COUNTIFS('Tasks'!$A$2:$A$224,O92)=1,INDEX('Tasks'!$M$2:$M$224,MATCH(O92,'Tasks'!$A$2:$A$224,0)),"BAD ID"))</x:f>
        <x:v>0</x:v>
      </x:c>
    </x:row>
    <x:row r="93" ht="28" customHeight="1">
      <x:c r="A93" s="2" t="str">
        <x:v>E4-10</x:v>
      </x:c>
      <x:c r="B93" s="2" t="str">
        <x:f>IF(VLOOKUP(A93,'Tasks'!$A$2:$X$224,15,FALSE)="","",VLOOKUP(A93,'Tasks'!$A$2:$X$224,15,FALSE))</x:f>
        <x:v>G3-01,E4-09</x:v>
      </x:c>
      <x:c r="C93" s="13" t="n">
        <x:f>VLOOKUP(A93,'Tasks'!$A$2:$X$224,12,FALSE)</x:f>
        <x:v>46321</x:v>
      </x:c>
      <x:c r="D93" s="2" t="n">
        <x:f>IF(B93="",0,LEN(B93)-LEN(SUBSTITUTE(B93,",",""))+1)</x:f>
        <x:v>2</x:v>
      </x:c>
      <x:c r="E93" s="14" t="n">
        <x:f>MAX(P93:W93)</x:f>
        <x:v>46320</x:v>
      </x:c>
      <x:c r="F93" s="2" t="n">
        <x:f>COUNTIFS(P93:W93,"BAD ID")</x:f>
        <x:v>0</x:v>
      </x:c>
      <x:c r="G93" s="2" t="str">
        <x:f>IF(D93&gt;8,"TOO MANY",IF(F93&gt;0,"BAD ID",IF(C93&gt;=E93,"OK","LATE")))</x:f>
        <x:v>OK</x:v>
      </x:c>
      <x:c r="H93" s="2" t="str">
        <x:f>TRIM(MID(SUBSTITUTE($B93,",",REPT(" ",100)),1,100))</x:f>
        <x:v>G3-01</x:v>
      </x:c>
      <x:c r="I93" s="2" t="str">
        <x:f>TRIM(MID(SUBSTITUTE($B93,",",REPT(" ",100)),101,100))</x:f>
        <x:v>E4-09</x:v>
      </x:c>
      <x:c r="J93" s="2" t="str">
        <x:f>TRIM(MID(SUBSTITUTE($B93,",",REPT(" ",100)),201,100))</x:f>
      </x:c>
      <x:c r="K93" s="2" t="str">
        <x:f>TRIM(MID(SUBSTITUTE($B93,",",REPT(" ",100)),301,100))</x:f>
      </x:c>
      <x:c r="L93" s="2" t="str">
        <x:f>TRIM(MID(SUBSTITUTE($B93,",",REPT(" ",100)),401,100))</x:f>
      </x:c>
      <x:c r="M93" s="2" t="str">
        <x:f>TRIM(MID(SUBSTITUTE($B93,",",REPT(" ",100)),501,100))</x:f>
      </x:c>
      <x:c r="N93" s="2" t="str">
        <x:f>TRIM(MID(SUBSTITUTE($B93,",",REPT(" ",100)),601,100))</x:f>
      </x:c>
      <x:c r="O93" s="2" t="str">
        <x:f>TRIM(MID(SUBSTITUTE($B93,",",REPT(" ",100)),701,100))</x:f>
      </x:c>
      <x:c r="P93" s="14" t="n">
        <x:f>IF(H93="",0,IF(COUNTIFS('Tasks'!$A$2:$A$224,H93)=1,INDEX('Tasks'!$M$2:$M$224,MATCH(H93,'Tasks'!$A$2:$A$224,0)),"BAD ID"))</x:f>
        <x:v>46320</x:v>
      </x:c>
      <x:c r="Q93" s="14" t="n">
        <x:f>IF(I93="",0,IF(COUNTIFS('Tasks'!$A$2:$A$224,I93)=1,INDEX('Tasks'!$M$2:$M$224,MATCH(I93,'Tasks'!$A$2:$A$224,0)),"BAD ID"))</x:f>
        <x:v>46319</x:v>
      </x:c>
      <x:c r="R93" s="14" t="n">
        <x:f>IF(J93="",0,IF(COUNTIFS('Tasks'!$A$2:$A$224,J93)=1,INDEX('Tasks'!$M$2:$M$224,MATCH(J93,'Tasks'!$A$2:$A$224,0)),"BAD ID"))</x:f>
        <x:v>0</x:v>
      </x:c>
      <x:c r="S93" s="14" t="n">
        <x:f>IF(K93="",0,IF(COUNTIFS('Tasks'!$A$2:$A$224,K93)=1,INDEX('Tasks'!$M$2:$M$224,MATCH(K93,'Tasks'!$A$2:$A$224,0)),"BAD ID"))</x:f>
        <x:v>0</x:v>
      </x:c>
      <x:c r="T93" s="14" t="n">
        <x:f>IF(L93="",0,IF(COUNTIFS('Tasks'!$A$2:$A$224,L93)=1,INDEX('Tasks'!$M$2:$M$224,MATCH(L93,'Tasks'!$A$2:$A$224,0)),"BAD ID"))</x:f>
        <x:v>0</x:v>
      </x:c>
      <x:c r="U93" s="14" t="n">
        <x:f>IF(M93="",0,IF(COUNTIFS('Tasks'!$A$2:$A$224,M93)=1,INDEX('Tasks'!$M$2:$M$224,MATCH(M93,'Tasks'!$A$2:$A$224,0)),"BAD ID"))</x:f>
        <x:v>0</x:v>
      </x:c>
      <x:c r="V93" s="14" t="n">
        <x:f>IF(N93="",0,IF(COUNTIFS('Tasks'!$A$2:$A$224,N93)=1,INDEX('Tasks'!$M$2:$M$224,MATCH(N93,'Tasks'!$A$2:$A$224,0)),"BAD ID"))</x:f>
        <x:v>0</x:v>
      </x:c>
      <x:c r="W93" s="14" t="n">
        <x:f>IF(O93="",0,IF(COUNTIFS('Tasks'!$A$2:$A$224,O93)=1,INDEX('Tasks'!$M$2:$M$224,MATCH(O93,'Tasks'!$A$2:$A$224,0)),"BAD ID"))</x:f>
        <x:v>0</x:v>
      </x:c>
    </x:row>
    <x:row r="94" ht="28" customHeight="1">
      <x:c r="A94" s="2" t="str">
        <x:v>E4-11</x:v>
      </x:c>
      <x:c r="B94" s="2" t="str">
        <x:f>IF(VLOOKUP(A94,'Tasks'!$A$2:$X$224,15,FALSE)="","",VLOOKUP(A94,'Tasks'!$A$2:$X$224,15,FALSE))</x:f>
        <x:v>G3-01,E4-09</x:v>
      </x:c>
      <x:c r="C94" s="13" t="n">
        <x:f>VLOOKUP(A94,'Tasks'!$A$2:$X$224,12,FALSE)</x:f>
        <x:v>46321</x:v>
      </x:c>
      <x:c r="D94" s="2" t="n">
        <x:f>IF(B94="",0,LEN(B94)-LEN(SUBSTITUTE(B94,",",""))+1)</x:f>
        <x:v>2</x:v>
      </x:c>
      <x:c r="E94" s="14" t="n">
        <x:f>MAX(P94:W94)</x:f>
        <x:v>46320</x:v>
      </x:c>
      <x:c r="F94" s="2" t="n">
        <x:f>COUNTIFS(P94:W94,"BAD ID")</x:f>
        <x:v>0</x:v>
      </x:c>
      <x:c r="G94" s="2" t="str">
        <x:f>IF(D94&gt;8,"TOO MANY",IF(F94&gt;0,"BAD ID",IF(C94&gt;=E94,"OK","LATE")))</x:f>
        <x:v>OK</x:v>
      </x:c>
      <x:c r="H94" s="2" t="str">
        <x:f>TRIM(MID(SUBSTITUTE($B94,",",REPT(" ",100)),1,100))</x:f>
        <x:v>G3-01</x:v>
      </x:c>
      <x:c r="I94" s="2" t="str">
        <x:f>TRIM(MID(SUBSTITUTE($B94,",",REPT(" ",100)),101,100))</x:f>
        <x:v>E4-09</x:v>
      </x:c>
      <x:c r="J94" s="2" t="str">
        <x:f>TRIM(MID(SUBSTITUTE($B94,",",REPT(" ",100)),201,100))</x:f>
      </x:c>
      <x:c r="K94" s="2" t="str">
        <x:f>TRIM(MID(SUBSTITUTE($B94,",",REPT(" ",100)),301,100))</x:f>
      </x:c>
      <x:c r="L94" s="2" t="str">
        <x:f>TRIM(MID(SUBSTITUTE($B94,",",REPT(" ",100)),401,100))</x:f>
      </x:c>
      <x:c r="M94" s="2" t="str">
        <x:f>TRIM(MID(SUBSTITUTE($B94,",",REPT(" ",100)),501,100))</x:f>
      </x:c>
      <x:c r="N94" s="2" t="str">
        <x:f>TRIM(MID(SUBSTITUTE($B94,",",REPT(" ",100)),601,100))</x:f>
      </x:c>
      <x:c r="O94" s="2" t="str">
        <x:f>TRIM(MID(SUBSTITUTE($B94,",",REPT(" ",100)),701,100))</x:f>
      </x:c>
      <x:c r="P94" s="14" t="n">
        <x:f>IF(H94="",0,IF(COUNTIFS('Tasks'!$A$2:$A$224,H94)=1,INDEX('Tasks'!$M$2:$M$224,MATCH(H94,'Tasks'!$A$2:$A$224,0)),"BAD ID"))</x:f>
        <x:v>46320</x:v>
      </x:c>
      <x:c r="Q94" s="14" t="n">
        <x:f>IF(I94="",0,IF(COUNTIFS('Tasks'!$A$2:$A$224,I94)=1,INDEX('Tasks'!$M$2:$M$224,MATCH(I94,'Tasks'!$A$2:$A$224,0)),"BAD ID"))</x:f>
        <x:v>46319</x:v>
      </x:c>
      <x:c r="R94" s="14" t="n">
        <x:f>IF(J94="",0,IF(COUNTIFS('Tasks'!$A$2:$A$224,J94)=1,INDEX('Tasks'!$M$2:$M$224,MATCH(J94,'Tasks'!$A$2:$A$224,0)),"BAD ID"))</x:f>
        <x:v>0</x:v>
      </x:c>
      <x:c r="S94" s="14" t="n">
        <x:f>IF(K94="",0,IF(COUNTIFS('Tasks'!$A$2:$A$224,K94)=1,INDEX('Tasks'!$M$2:$M$224,MATCH(K94,'Tasks'!$A$2:$A$224,0)),"BAD ID"))</x:f>
        <x:v>0</x:v>
      </x:c>
      <x:c r="T94" s="14" t="n">
        <x:f>IF(L94="",0,IF(COUNTIFS('Tasks'!$A$2:$A$224,L94)=1,INDEX('Tasks'!$M$2:$M$224,MATCH(L94,'Tasks'!$A$2:$A$224,0)),"BAD ID"))</x:f>
        <x:v>0</x:v>
      </x:c>
      <x:c r="U94" s="14" t="n">
        <x:f>IF(M94="",0,IF(COUNTIFS('Tasks'!$A$2:$A$224,M94)=1,INDEX('Tasks'!$M$2:$M$224,MATCH(M94,'Tasks'!$A$2:$A$224,0)),"BAD ID"))</x:f>
        <x:v>0</x:v>
      </x:c>
      <x:c r="V94" s="14" t="n">
        <x:f>IF(N94="",0,IF(COUNTIFS('Tasks'!$A$2:$A$224,N94)=1,INDEX('Tasks'!$M$2:$M$224,MATCH(N94,'Tasks'!$A$2:$A$224,0)),"BAD ID"))</x:f>
        <x:v>0</x:v>
      </x:c>
      <x:c r="W94" s="14" t="n">
        <x:f>IF(O94="",0,IF(COUNTIFS('Tasks'!$A$2:$A$224,O94)=1,INDEX('Tasks'!$M$2:$M$224,MATCH(O94,'Tasks'!$A$2:$A$224,0)),"BAD ID"))</x:f>
        <x:v>0</x:v>
      </x:c>
    </x:row>
    <x:row r="95" ht="28" customHeight="1">
      <x:c r="A95" s="2" t="str">
        <x:v>E4-12</x:v>
      </x:c>
      <x:c r="B95" s="2" t="str">
        <x:f>IF(VLOOKUP(A95,'Tasks'!$A$2:$X$224,15,FALSE)="","",VLOOKUP(A95,'Tasks'!$A$2:$X$224,15,FALSE))</x:f>
        <x:v>E4-10,E4-11</x:v>
      </x:c>
      <x:c r="C95" s="13" t="n">
        <x:f>VLOOKUP(A95,'Tasks'!$A$2:$X$224,12,FALSE)</x:f>
        <x:v>46322</x:v>
      </x:c>
      <x:c r="D95" s="2" t="n">
        <x:f>IF(B95="",0,LEN(B95)-LEN(SUBSTITUTE(B95,",",""))+1)</x:f>
        <x:v>2</x:v>
      </x:c>
      <x:c r="E95" s="14" t="n">
        <x:f>MAX(P95:W95)</x:f>
        <x:v>46321</x:v>
      </x:c>
      <x:c r="F95" s="2" t="n">
        <x:f>COUNTIFS(P95:W95,"BAD ID")</x:f>
        <x:v>0</x:v>
      </x:c>
      <x:c r="G95" s="2" t="str">
        <x:f>IF(D95&gt;8,"TOO MANY",IF(F95&gt;0,"BAD ID",IF(C95&gt;=E95,"OK","LATE")))</x:f>
        <x:v>OK</x:v>
      </x:c>
      <x:c r="H95" s="2" t="str">
        <x:f>TRIM(MID(SUBSTITUTE($B95,",",REPT(" ",100)),1,100))</x:f>
        <x:v>E4-10</x:v>
      </x:c>
      <x:c r="I95" s="2" t="str">
        <x:f>TRIM(MID(SUBSTITUTE($B95,",",REPT(" ",100)),101,100))</x:f>
        <x:v>E4-11</x:v>
      </x:c>
      <x:c r="J95" s="2" t="str">
        <x:f>TRIM(MID(SUBSTITUTE($B95,",",REPT(" ",100)),201,100))</x:f>
      </x:c>
      <x:c r="K95" s="2" t="str">
        <x:f>TRIM(MID(SUBSTITUTE($B95,",",REPT(" ",100)),301,100))</x:f>
      </x:c>
      <x:c r="L95" s="2" t="str">
        <x:f>TRIM(MID(SUBSTITUTE($B95,",",REPT(" ",100)),401,100))</x:f>
      </x:c>
      <x:c r="M95" s="2" t="str">
        <x:f>TRIM(MID(SUBSTITUTE($B95,",",REPT(" ",100)),501,100))</x:f>
      </x:c>
      <x:c r="N95" s="2" t="str">
        <x:f>TRIM(MID(SUBSTITUTE($B95,",",REPT(" ",100)),601,100))</x:f>
      </x:c>
      <x:c r="O95" s="2" t="str">
        <x:f>TRIM(MID(SUBSTITUTE($B95,",",REPT(" ",100)),701,100))</x:f>
      </x:c>
      <x:c r="P95" s="14" t="n">
        <x:f>IF(H95="",0,IF(COUNTIFS('Tasks'!$A$2:$A$224,H95)=1,INDEX('Tasks'!$M$2:$M$224,MATCH(H95,'Tasks'!$A$2:$A$224,0)),"BAD ID"))</x:f>
        <x:v>46321</x:v>
      </x:c>
      <x:c r="Q95" s="14" t="n">
        <x:f>IF(I95="",0,IF(COUNTIFS('Tasks'!$A$2:$A$224,I95)=1,INDEX('Tasks'!$M$2:$M$224,MATCH(I95,'Tasks'!$A$2:$A$224,0)),"BAD ID"))</x:f>
        <x:v>46321</x:v>
      </x:c>
      <x:c r="R95" s="14" t="n">
        <x:f>IF(J95="",0,IF(COUNTIFS('Tasks'!$A$2:$A$224,J95)=1,INDEX('Tasks'!$M$2:$M$224,MATCH(J95,'Tasks'!$A$2:$A$224,0)),"BAD ID"))</x:f>
        <x:v>0</x:v>
      </x:c>
      <x:c r="S95" s="14" t="n">
        <x:f>IF(K95="",0,IF(COUNTIFS('Tasks'!$A$2:$A$224,K95)=1,INDEX('Tasks'!$M$2:$M$224,MATCH(K95,'Tasks'!$A$2:$A$224,0)),"BAD ID"))</x:f>
        <x:v>0</x:v>
      </x:c>
      <x:c r="T95" s="14" t="n">
        <x:f>IF(L95="",0,IF(COUNTIFS('Tasks'!$A$2:$A$224,L95)=1,INDEX('Tasks'!$M$2:$M$224,MATCH(L95,'Tasks'!$A$2:$A$224,0)),"BAD ID"))</x:f>
        <x:v>0</x:v>
      </x:c>
      <x:c r="U95" s="14" t="n">
        <x:f>IF(M95="",0,IF(COUNTIFS('Tasks'!$A$2:$A$224,M95)=1,INDEX('Tasks'!$M$2:$M$224,MATCH(M95,'Tasks'!$A$2:$A$224,0)),"BAD ID"))</x:f>
        <x:v>0</x:v>
      </x:c>
      <x:c r="V95" s="14" t="n">
        <x:f>IF(N95="",0,IF(COUNTIFS('Tasks'!$A$2:$A$224,N95)=1,INDEX('Tasks'!$M$2:$M$224,MATCH(N95,'Tasks'!$A$2:$A$224,0)),"BAD ID"))</x:f>
        <x:v>0</x:v>
      </x:c>
      <x:c r="W95" s="14" t="n">
        <x:f>IF(O95="",0,IF(COUNTIFS('Tasks'!$A$2:$A$224,O95)=1,INDEX('Tasks'!$M$2:$M$224,MATCH(O95,'Tasks'!$A$2:$A$224,0)),"BAD ID"))</x:f>
        <x:v>0</x:v>
      </x:c>
    </x:row>
    <x:row r="96" ht="28" customHeight="1">
      <x:c r="A96" s="2" t="str">
        <x:v>E4-13</x:v>
      </x:c>
      <x:c r="B96" s="2" t="str">
        <x:f>IF(VLOOKUP(A96,'Tasks'!$A$2:$X$224,15,FALSE)="","",VLOOKUP(A96,'Tasks'!$A$2:$X$224,15,FALSE))</x:f>
        <x:v>E4-10</x:v>
      </x:c>
      <x:c r="C96" s="13" t="n">
        <x:f>VLOOKUP(A96,'Tasks'!$A$2:$X$224,12,FALSE)</x:f>
        <x:v>46323</x:v>
      </x:c>
      <x:c r="D96" s="2" t="n">
        <x:f>IF(B96="",0,LEN(B96)-LEN(SUBSTITUTE(B96,",",""))+1)</x:f>
        <x:v>1</x:v>
      </x:c>
      <x:c r="E96" s="14" t="n">
        <x:f>MAX(P96:W96)</x:f>
        <x:v>46321</x:v>
      </x:c>
      <x:c r="F96" s="2" t="n">
        <x:f>COUNTIFS(P96:W96,"BAD ID")</x:f>
        <x:v>0</x:v>
      </x:c>
      <x:c r="G96" s="2" t="str">
        <x:f>IF(D96&gt;8,"TOO MANY",IF(F96&gt;0,"BAD ID",IF(C96&gt;=E96,"OK","LATE")))</x:f>
        <x:v>OK</x:v>
      </x:c>
      <x:c r="H96" s="2" t="str">
        <x:f>TRIM(MID(SUBSTITUTE($B96,",",REPT(" ",100)),1,100))</x:f>
        <x:v>E4-10</x:v>
      </x:c>
      <x:c r="I96" s="2" t="str">
        <x:f>TRIM(MID(SUBSTITUTE($B96,",",REPT(" ",100)),101,100))</x:f>
      </x:c>
      <x:c r="J96" s="2" t="str">
        <x:f>TRIM(MID(SUBSTITUTE($B96,",",REPT(" ",100)),201,100))</x:f>
      </x:c>
      <x:c r="K96" s="2" t="str">
        <x:f>TRIM(MID(SUBSTITUTE($B96,",",REPT(" ",100)),301,100))</x:f>
      </x:c>
      <x:c r="L96" s="2" t="str">
        <x:f>TRIM(MID(SUBSTITUTE($B96,",",REPT(" ",100)),401,100))</x:f>
      </x:c>
      <x:c r="M96" s="2" t="str">
        <x:f>TRIM(MID(SUBSTITUTE($B96,",",REPT(" ",100)),501,100))</x:f>
      </x:c>
      <x:c r="N96" s="2" t="str">
        <x:f>TRIM(MID(SUBSTITUTE($B96,",",REPT(" ",100)),601,100))</x:f>
      </x:c>
      <x:c r="O96" s="2" t="str">
        <x:f>TRIM(MID(SUBSTITUTE($B96,",",REPT(" ",100)),701,100))</x:f>
      </x:c>
      <x:c r="P96" s="14" t="n">
        <x:f>IF(H96="",0,IF(COUNTIFS('Tasks'!$A$2:$A$224,H96)=1,INDEX('Tasks'!$M$2:$M$224,MATCH(H96,'Tasks'!$A$2:$A$224,0)),"BAD ID"))</x:f>
        <x:v>46321</x:v>
      </x:c>
      <x:c r="Q96" s="14" t="n">
        <x:f>IF(I96="",0,IF(COUNTIFS('Tasks'!$A$2:$A$224,I96)=1,INDEX('Tasks'!$M$2:$M$224,MATCH(I96,'Tasks'!$A$2:$A$224,0)),"BAD ID"))</x:f>
        <x:v>0</x:v>
      </x:c>
      <x:c r="R96" s="14" t="n">
        <x:f>IF(J96="",0,IF(COUNTIFS('Tasks'!$A$2:$A$224,J96)=1,INDEX('Tasks'!$M$2:$M$224,MATCH(J96,'Tasks'!$A$2:$A$224,0)),"BAD ID"))</x:f>
        <x:v>0</x:v>
      </x:c>
      <x:c r="S96" s="14" t="n">
        <x:f>IF(K96="",0,IF(COUNTIFS('Tasks'!$A$2:$A$224,K96)=1,INDEX('Tasks'!$M$2:$M$224,MATCH(K96,'Tasks'!$A$2:$A$224,0)),"BAD ID"))</x:f>
        <x:v>0</x:v>
      </x:c>
      <x:c r="T96" s="14" t="n">
        <x:f>IF(L96="",0,IF(COUNTIFS('Tasks'!$A$2:$A$224,L96)=1,INDEX('Tasks'!$M$2:$M$224,MATCH(L96,'Tasks'!$A$2:$A$224,0)),"BAD ID"))</x:f>
        <x:v>0</x:v>
      </x:c>
      <x:c r="U96" s="14" t="n">
        <x:f>IF(M96="",0,IF(COUNTIFS('Tasks'!$A$2:$A$224,M96)=1,INDEX('Tasks'!$M$2:$M$224,MATCH(M96,'Tasks'!$A$2:$A$224,0)),"BAD ID"))</x:f>
        <x:v>0</x:v>
      </x:c>
      <x:c r="V96" s="14" t="n">
        <x:f>IF(N96="",0,IF(COUNTIFS('Tasks'!$A$2:$A$224,N96)=1,INDEX('Tasks'!$M$2:$M$224,MATCH(N96,'Tasks'!$A$2:$A$224,0)),"BAD ID"))</x:f>
        <x:v>0</x:v>
      </x:c>
      <x:c r="W96" s="14" t="n">
        <x:f>IF(O96="",0,IF(COUNTIFS('Tasks'!$A$2:$A$224,O96)=1,INDEX('Tasks'!$M$2:$M$224,MATCH(O96,'Tasks'!$A$2:$A$224,0)),"BAD ID"))</x:f>
        <x:v>0</x:v>
      </x:c>
    </x:row>
    <x:row r="97" ht="28" customHeight="1">
      <x:c r="A97" s="2" t="str">
        <x:v>E5-01</x:v>
      </x:c>
      <x:c r="B97" s="2" t="str">
        <x:f>IF(VLOOKUP(A97,'Tasks'!$A$2:$X$224,15,FALSE)="","",VLOOKUP(A97,'Tasks'!$A$2:$X$224,15,FALSE))</x:f>
        <x:v>BL-A-05,BL-C-01</x:v>
      </x:c>
      <x:c r="C97" s="13" t="n">
        <x:f>VLOOKUP(A97,'Tasks'!$A$2:$X$224,12,FALSE)</x:f>
        <x:v>46312</x:v>
      </x:c>
      <x:c r="D97" s="2" t="n">
        <x:f>IF(B97="",0,LEN(B97)-LEN(SUBSTITUTE(B97,",",""))+1)</x:f>
        <x:v>2</x:v>
      </x:c>
      <x:c r="E97" s="14" t="n">
        <x:f>MAX(P97:W97)</x:f>
        <x:v>46311</x:v>
      </x:c>
      <x:c r="F97" s="2" t="n">
        <x:f>COUNTIFS(P97:W97,"BAD ID")</x:f>
        <x:v>0</x:v>
      </x:c>
      <x:c r="G97" s="2" t="str">
        <x:f>IF(D97&gt;8,"TOO MANY",IF(F97&gt;0,"BAD ID",IF(C97&gt;=E97,"OK","LATE")))</x:f>
        <x:v>OK</x:v>
      </x:c>
      <x:c r="H97" s="2" t="str">
        <x:f>TRIM(MID(SUBSTITUTE($B97,",",REPT(" ",100)),1,100))</x:f>
        <x:v>BL-A-05</x:v>
      </x:c>
      <x:c r="I97" s="2" t="str">
        <x:f>TRIM(MID(SUBSTITUTE($B97,",",REPT(" ",100)),101,100))</x:f>
        <x:v>BL-C-01</x:v>
      </x:c>
      <x:c r="J97" s="2" t="str">
        <x:f>TRIM(MID(SUBSTITUTE($B97,",",REPT(" ",100)),201,100))</x:f>
      </x:c>
      <x:c r="K97" s="2" t="str">
        <x:f>TRIM(MID(SUBSTITUTE($B97,",",REPT(" ",100)),301,100))</x:f>
      </x:c>
      <x:c r="L97" s="2" t="str">
        <x:f>TRIM(MID(SUBSTITUTE($B97,",",REPT(" ",100)),401,100))</x:f>
      </x:c>
      <x:c r="M97" s="2" t="str">
        <x:f>TRIM(MID(SUBSTITUTE($B97,",",REPT(" ",100)),501,100))</x:f>
      </x:c>
      <x:c r="N97" s="2" t="str">
        <x:f>TRIM(MID(SUBSTITUTE($B97,",",REPT(" ",100)),601,100))</x:f>
      </x:c>
      <x:c r="O97" s="2" t="str">
        <x:f>TRIM(MID(SUBSTITUTE($B97,",",REPT(" ",100)),701,100))</x:f>
      </x:c>
      <x:c r="P97" s="14" t="n">
        <x:f>IF(H97="",0,IF(COUNTIFS('Tasks'!$A$2:$A$224,H97)=1,INDEX('Tasks'!$M$2:$M$224,MATCH(H97,'Tasks'!$A$2:$A$224,0)),"BAD ID"))</x:f>
        <x:v>46311</x:v>
      </x:c>
      <x:c r="Q97" s="14" t="n">
        <x:f>IF(I97="",0,IF(COUNTIFS('Tasks'!$A$2:$A$224,I97)=1,INDEX('Tasks'!$M$2:$M$224,MATCH(I97,'Tasks'!$A$2:$A$224,0)),"BAD ID"))</x:f>
        <x:v>46307</x:v>
      </x:c>
      <x:c r="R97" s="14" t="n">
        <x:f>IF(J97="",0,IF(COUNTIFS('Tasks'!$A$2:$A$224,J97)=1,INDEX('Tasks'!$M$2:$M$224,MATCH(J97,'Tasks'!$A$2:$A$224,0)),"BAD ID"))</x:f>
        <x:v>0</x:v>
      </x:c>
      <x:c r="S97" s="14" t="n">
        <x:f>IF(K97="",0,IF(COUNTIFS('Tasks'!$A$2:$A$224,K97)=1,INDEX('Tasks'!$M$2:$M$224,MATCH(K97,'Tasks'!$A$2:$A$224,0)),"BAD ID"))</x:f>
        <x:v>0</x:v>
      </x:c>
      <x:c r="T97" s="14" t="n">
        <x:f>IF(L97="",0,IF(COUNTIFS('Tasks'!$A$2:$A$224,L97)=1,INDEX('Tasks'!$M$2:$M$224,MATCH(L97,'Tasks'!$A$2:$A$224,0)),"BAD ID"))</x:f>
        <x:v>0</x:v>
      </x:c>
      <x:c r="U97" s="14" t="n">
        <x:f>IF(M97="",0,IF(COUNTIFS('Tasks'!$A$2:$A$224,M97)=1,INDEX('Tasks'!$M$2:$M$224,MATCH(M97,'Tasks'!$A$2:$A$224,0)),"BAD ID"))</x:f>
        <x:v>0</x:v>
      </x:c>
      <x:c r="V97" s="14" t="n">
        <x:f>IF(N97="",0,IF(COUNTIFS('Tasks'!$A$2:$A$224,N97)=1,INDEX('Tasks'!$M$2:$M$224,MATCH(N97,'Tasks'!$A$2:$A$224,0)),"BAD ID"))</x:f>
        <x:v>0</x:v>
      </x:c>
      <x:c r="W97" s="14" t="n">
        <x:f>IF(O97="",0,IF(COUNTIFS('Tasks'!$A$2:$A$224,O97)=1,INDEX('Tasks'!$M$2:$M$224,MATCH(O97,'Tasks'!$A$2:$A$224,0)),"BAD ID"))</x:f>
        <x:v>0</x:v>
      </x:c>
    </x:row>
    <x:row r="98" ht="28" customHeight="1">
      <x:c r="A98" s="2" t="str">
        <x:v>E5-02</x:v>
      </x:c>
      <x:c r="B98" s="2" t="str">
        <x:f>IF(VLOOKUP(A98,'Tasks'!$A$2:$X$224,15,FALSE)="","",VLOOKUP(A98,'Tasks'!$A$2:$X$224,15,FALSE))</x:f>
        <x:v>E5-01</x:v>
      </x:c>
      <x:c r="C98" s="13" t="n">
        <x:f>VLOOKUP(A98,'Tasks'!$A$2:$X$224,12,FALSE)</x:f>
        <x:v>46313</x:v>
      </x:c>
      <x:c r="D98" s="2" t="n">
        <x:f>IF(B98="",0,LEN(B98)-LEN(SUBSTITUTE(B98,",",""))+1)</x:f>
        <x:v>1</x:v>
      </x:c>
      <x:c r="E98" s="14" t="n">
        <x:f>MAX(P98:W98)</x:f>
        <x:v>46312</x:v>
      </x:c>
      <x:c r="F98" s="2" t="n">
        <x:f>COUNTIFS(P98:W98,"BAD ID")</x:f>
        <x:v>0</x:v>
      </x:c>
      <x:c r="G98" s="2" t="str">
        <x:f>IF(D98&gt;8,"TOO MANY",IF(F98&gt;0,"BAD ID",IF(C98&gt;=E98,"OK","LATE")))</x:f>
        <x:v>OK</x:v>
      </x:c>
      <x:c r="H98" s="2" t="str">
        <x:f>TRIM(MID(SUBSTITUTE($B98,",",REPT(" ",100)),1,100))</x:f>
        <x:v>E5-01</x:v>
      </x:c>
      <x:c r="I98" s="2" t="str">
        <x:f>TRIM(MID(SUBSTITUTE($B98,",",REPT(" ",100)),101,100))</x:f>
      </x:c>
      <x:c r="J98" s="2" t="str">
        <x:f>TRIM(MID(SUBSTITUTE($B98,",",REPT(" ",100)),201,100))</x:f>
      </x:c>
      <x:c r="K98" s="2" t="str">
        <x:f>TRIM(MID(SUBSTITUTE($B98,",",REPT(" ",100)),301,100))</x:f>
      </x:c>
      <x:c r="L98" s="2" t="str">
        <x:f>TRIM(MID(SUBSTITUTE($B98,",",REPT(" ",100)),401,100))</x:f>
      </x:c>
      <x:c r="M98" s="2" t="str">
        <x:f>TRIM(MID(SUBSTITUTE($B98,",",REPT(" ",100)),501,100))</x:f>
      </x:c>
      <x:c r="N98" s="2" t="str">
        <x:f>TRIM(MID(SUBSTITUTE($B98,",",REPT(" ",100)),601,100))</x:f>
      </x:c>
      <x:c r="O98" s="2" t="str">
        <x:f>TRIM(MID(SUBSTITUTE($B98,",",REPT(" ",100)),701,100))</x:f>
      </x:c>
      <x:c r="P98" s="14" t="n">
        <x:f>IF(H98="",0,IF(COUNTIFS('Tasks'!$A$2:$A$224,H98)=1,INDEX('Tasks'!$M$2:$M$224,MATCH(H98,'Tasks'!$A$2:$A$224,0)),"BAD ID"))</x:f>
        <x:v>46312</x:v>
      </x:c>
      <x:c r="Q98" s="14" t="n">
        <x:f>IF(I98="",0,IF(COUNTIFS('Tasks'!$A$2:$A$224,I98)=1,INDEX('Tasks'!$M$2:$M$224,MATCH(I98,'Tasks'!$A$2:$A$224,0)),"BAD ID"))</x:f>
        <x:v>0</x:v>
      </x:c>
      <x:c r="R98" s="14" t="n">
        <x:f>IF(J98="",0,IF(COUNTIFS('Tasks'!$A$2:$A$224,J98)=1,INDEX('Tasks'!$M$2:$M$224,MATCH(J98,'Tasks'!$A$2:$A$224,0)),"BAD ID"))</x:f>
        <x:v>0</x:v>
      </x:c>
      <x:c r="S98" s="14" t="n">
        <x:f>IF(K98="",0,IF(COUNTIFS('Tasks'!$A$2:$A$224,K98)=1,INDEX('Tasks'!$M$2:$M$224,MATCH(K98,'Tasks'!$A$2:$A$224,0)),"BAD ID"))</x:f>
        <x:v>0</x:v>
      </x:c>
      <x:c r="T98" s="14" t="n">
        <x:f>IF(L98="",0,IF(COUNTIFS('Tasks'!$A$2:$A$224,L98)=1,INDEX('Tasks'!$M$2:$M$224,MATCH(L98,'Tasks'!$A$2:$A$224,0)),"BAD ID"))</x:f>
        <x:v>0</x:v>
      </x:c>
      <x:c r="U98" s="14" t="n">
        <x:f>IF(M98="",0,IF(COUNTIFS('Tasks'!$A$2:$A$224,M98)=1,INDEX('Tasks'!$M$2:$M$224,MATCH(M98,'Tasks'!$A$2:$A$224,0)),"BAD ID"))</x:f>
        <x:v>0</x:v>
      </x:c>
      <x:c r="V98" s="14" t="n">
        <x:f>IF(N98="",0,IF(COUNTIFS('Tasks'!$A$2:$A$224,N98)=1,INDEX('Tasks'!$M$2:$M$224,MATCH(N98,'Tasks'!$A$2:$A$224,0)),"BAD ID"))</x:f>
        <x:v>0</x:v>
      </x:c>
      <x:c r="W98" s="14" t="n">
        <x:f>IF(O98="",0,IF(COUNTIFS('Tasks'!$A$2:$A$224,O98)=1,INDEX('Tasks'!$M$2:$M$224,MATCH(O98,'Tasks'!$A$2:$A$224,0)),"BAD ID"))</x:f>
        <x:v>0</x:v>
      </x:c>
    </x:row>
    <x:row r="99" ht="28" customHeight="1">
      <x:c r="A99" s="2" t="str">
        <x:v>E5-03</x:v>
      </x:c>
      <x:c r="B99" s="2" t="str">
        <x:f>IF(VLOOKUP(A99,'Tasks'!$A$2:$X$224,15,FALSE)="","",VLOOKUP(A99,'Tasks'!$A$2:$X$224,15,FALSE))</x:f>
        <x:v>E5-02,BL-D-07</x:v>
      </x:c>
      <x:c r="C99" s="13" t="n">
        <x:f>VLOOKUP(A99,'Tasks'!$A$2:$X$224,12,FALSE)</x:f>
        <x:v>46314</x:v>
      </x:c>
      <x:c r="D99" s="2" t="n">
        <x:f>IF(B99="",0,LEN(B99)-LEN(SUBSTITUTE(B99,",",""))+1)</x:f>
        <x:v>2</x:v>
      </x:c>
      <x:c r="E99" s="14" t="n">
        <x:f>MAX(P99:W99)</x:f>
        <x:v>46313</x:v>
      </x:c>
      <x:c r="F99" s="2" t="n">
        <x:f>COUNTIFS(P99:W99,"BAD ID")</x:f>
        <x:v>0</x:v>
      </x:c>
      <x:c r="G99" s="2" t="str">
        <x:f>IF(D99&gt;8,"TOO MANY",IF(F99&gt;0,"BAD ID",IF(C99&gt;=E99,"OK","LATE")))</x:f>
        <x:v>OK</x:v>
      </x:c>
      <x:c r="H99" s="2" t="str">
        <x:f>TRIM(MID(SUBSTITUTE($B99,",",REPT(" ",100)),1,100))</x:f>
        <x:v>E5-02</x:v>
      </x:c>
      <x:c r="I99" s="2" t="str">
        <x:f>TRIM(MID(SUBSTITUTE($B99,",",REPT(" ",100)),101,100))</x:f>
        <x:v>BL-D-07</x:v>
      </x:c>
      <x:c r="J99" s="2" t="str">
        <x:f>TRIM(MID(SUBSTITUTE($B99,",",REPT(" ",100)),201,100))</x:f>
      </x:c>
      <x:c r="K99" s="2" t="str">
        <x:f>TRIM(MID(SUBSTITUTE($B99,",",REPT(" ",100)),301,100))</x:f>
      </x:c>
      <x:c r="L99" s="2" t="str">
        <x:f>TRIM(MID(SUBSTITUTE($B99,",",REPT(" ",100)),401,100))</x:f>
      </x:c>
      <x:c r="M99" s="2" t="str">
        <x:f>TRIM(MID(SUBSTITUTE($B99,",",REPT(" ",100)),501,100))</x:f>
      </x:c>
      <x:c r="N99" s="2" t="str">
        <x:f>TRIM(MID(SUBSTITUTE($B99,",",REPT(" ",100)),601,100))</x:f>
      </x:c>
      <x:c r="O99" s="2" t="str">
        <x:f>TRIM(MID(SUBSTITUTE($B99,",",REPT(" ",100)),701,100))</x:f>
      </x:c>
      <x:c r="P99" s="14" t="n">
        <x:f>IF(H99="",0,IF(COUNTIFS('Tasks'!$A$2:$A$224,H99)=1,INDEX('Tasks'!$M$2:$M$224,MATCH(H99,'Tasks'!$A$2:$A$224,0)),"BAD ID"))</x:f>
        <x:v>46313</x:v>
      </x:c>
      <x:c r="Q99" s="14" t="n">
        <x:f>IF(I99="",0,IF(COUNTIFS('Tasks'!$A$2:$A$224,I99)=1,INDEX('Tasks'!$M$2:$M$224,MATCH(I99,'Tasks'!$A$2:$A$224,0)),"BAD ID"))</x:f>
        <x:v>46313</x:v>
      </x:c>
      <x:c r="R99" s="14" t="n">
        <x:f>IF(J99="",0,IF(COUNTIFS('Tasks'!$A$2:$A$224,J99)=1,INDEX('Tasks'!$M$2:$M$224,MATCH(J99,'Tasks'!$A$2:$A$224,0)),"BAD ID"))</x:f>
        <x:v>0</x:v>
      </x:c>
      <x:c r="S99" s="14" t="n">
        <x:f>IF(K99="",0,IF(COUNTIFS('Tasks'!$A$2:$A$224,K99)=1,INDEX('Tasks'!$M$2:$M$224,MATCH(K99,'Tasks'!$A$2:$A$224,0)),"BAD ID"))</x:f>
        <x:v>0</x:v>
      </x:c>
      <x:c r="T99" s="14" t="n">
        <x:f>IF(L99="",0,IF(COUNTIFS('Tasks'!$A$2:$A$224,L99)=1,INDEX('Tasks'!$M$2:$M$224,MATCH(L99,'Tasks'!$A$2:$A$224,0)),"BAD ID"))</x:f>
        <x:v>0</x:v>
      </x:c>
      <x:c r="U99" s="14" t="n">
        <x:f>IF(M99="",0,IF(COUNTIFS('Tasks'!$A$2:$A$224,M99)=1,INDEX('Tasks'!$M$2:$M$224,MATCH(M99,'Tasks'!$A$2:$A$224,0)),"BAD ID"))</x:f>
        <x:v>0</x:v>
      </x:c>
      <x:c r="V99" s="14" t="n">
        <x:f>IF(N99="",0,IF(COUNTIFS('Tasks'!$A$2:$A$224,N99)=1,INDEX('Tasks'!$M$2:$M$224,MATCH(N99,'Tasks'!$A$2:$A$224,0)),"BAD ID"))</x:f>
        <x:v>0</x:v>
      </x:c>
      <x:c r="W99" s="14" t="n">
        <x:f>IF(O99="",0,IF(COUNTIFS('Tasks'!$A$2:$A$224,O99)=1,INDEX('Tasks'!$M$2:$M$224,MATCH(O99,'Tasks'!$A$2:$A$224,0)),"BAD ID"))</x:f>
        <x:v>0</x:v>
      </x:c>
    </x:row>
    <x:row r="100" ht="28" customHeight="1">
      <x:c r="A100" s="2" t="str">
        <x:v>E5-04</x:v>
      </x:c>
      <x:c r="B100" s="2" t="str">
        <x:f>IF(VLOOKUP(A100,'Tasks'!$A$2:$X$224,15,FALSE)="","",VLOOKUP(A100,'Tasks'!$A$2:$X$224,15,FALSE))</x:f>
        <x:v>E5-03</x:v>
      </x:c>
      <x:c r="C100" s="13" t="n">
        <x:f>VLOOKUP(A100,'Tasks'!$A$2:$X$224,12,FALSE)</x:f>
        <x:v>46316</x:v>
      </x:c>
      <x:c r="D100" s="2" t="n">
        <x:f>IF(B100="",0,LEN(B100)-LEN(SUBSTITUTE(B100,",",""))+1)</x:f>
        <x:v>1</x:v>
      </x:c>
      <x:c r="E100" s="14" t="n">
        <x:f>MAX(P100:W100)</x:f>
        <x:v>46314</x:v>
      </x:c>
      <x:c r="F100" s="2" t="n">
        <x:f>COUNTIFS(P100:W100,"BAD ID")</x:f>
        <x:v>0</x:v>
      </x:c>
      <x:c r="G100" s="2" t="str">
        <x:f>IF(D100&gt;8,"TOO MANY",IF(F100&gt;0,"BAD ID",IF(C100&gt;=E100,"OK","LATE")))</x:f>
        <x:v>OK</x:v>
      </x:c>
      <x:c r="H100" s="2" t="str">
        <x:f>TRIM(MID(SUBSTITUTE($B100,",",REPT(" ",100)),1,100))</x:f>
        <x:v>E5-03</x:v>
      </x:c>
      <x:c r="I100" s="2" t="str">
        <x:f>TRIM(MID(SUBSTITUTE($B100,",",REPT(" ",100)),101,100))</x:f>
      </x:c>
      <x:c r="J100" s="2" t="str">
        <x:f>TRIM(MID(SUBSTITUTE($B100,",",REPT(" ",100)),201,100))</x:f>
      </x:c>
      <x:c r="K100" s="2" t="str">
        <x:f>TRIM(MID(SUBSTITUTE($B100,",",REPT(" ",100)),301,100))</x:f>
      </x:c>
      <x:c r="L100" s="2" t="str">
        <x:f>TRIM(MID(SUBSTITUTE($B100,",",REPT(" ",100)),401,100))</x:f>
      </x:c>
      <x:c r="M100" s="2" t="str">
        <x:f>TRIM(MID(SUBSTITUTE($B100,",",REPT(" ",100)),501,100))</x:f>
      </x:c>
      <x:c r="N100" s="2" t="str">
        <x:f>TRIM(MID(SUBSTITUTE($B100,",",REPT(" ",100)),601,100))</x:f>
      </x:c>
      <x:c r="O100" s="2" t="str">
        <x:f>TRIM(MID(SUBSTITUTE($B100,",",REPT(" ",100)),701,100))</x:f>
      </x:c>
      <x:c r="P100" s="14" t="n">
        <x:f>IF(H100="",0,IF(COUNTIFS('Tasks'!$A$2:$A$224,H100)=1,INDEX('Tasks'!$M$2:$M$224,MATCH(H100,'Tasks'!$A$2:$A$224,0)),"BAD ID"))</x:f>
        <x:v>46314</x:v>
      </x:c>
      <x:c r="Q100" s="14" t="n">
        <x:f>IF(I100="",0,IF(COUNTIFS('Tasks'!$A$2:$A$224,I100)=1,INDEX('Tasks'!$M$2:$M$224,MATCH(I100,'Tasks'!$A$2:$A$224,0)),"BAD ID"))</x:f>
        <x:v>0</x:v>
      </x:c>
      <x:c r="R100" s="14" t="n">
        <x:f>IF(J100="",0,IF(COUNTIFS('Tasks'!$A$2:$A$224,J100)=1,INDEX('Tasks'!$M$2:$M$224,MATCH(J100,'Tasks'!$A$2:$A$224,0)),"BAD ID"))</x:f>
        <x:v>0</x:v>
      </x:c>
      <x:c r="S100" s="14" t="n">
        <x:f>IF(K100="",0,IF(COUNTIFS('Tasks'!$A$2:$A$224,K100)=1,INDEX('Tasks'!$M$2:$M$224,MATCH(K100,'Tasks'!$A$2:$A$224,0)),"BAD ID"))</x:f>
        <x:v>0</x:v>
      </x:c>
      <x:c r="T100" s="14" t="n">
        <x:f>IF(L100="",0,IF(COUNTIFS('Tasks'!$A$2:$A$224,L100)=1,INDEX('Tasks'!$M$2:$M$224,MATCH(L100,'Tasks'!$A$2:$A$224,0)),"BAD ID"))</x:f>
        <x:v>0</x:v>
      </x:c>
      <x:c r="U100" s="14" t="n">
        <x:f>IF(M100="",0,IF(COUNTIFS('Tasks'!$A$2:$A$224,M100)=1,INDEX('Tasks'!$M$2:$M$224,MATCH(M100,'Tasks'!$A$2:$A$224,0)),"BAD ID"))</x:f>
        <x:v>0</x:v>
      </x:c>
      <x:c r="V100" s="14" t="n">
        <x:f>IF(N100="",0,IF(COUNTIFS('Tasks'!$A$2:$A$224,N100)=1,INDEX('Tasks'!$M$2:$M$224,MATCH(N100,'Tasks'!$A$2:$A$224,0)),"BAD ID"))</x:f>
        <x:v>0</x:v>
      </x:c>
      <x:c r="W100" s="14" t="n">
        <x:f>IF(O100="",0,IF(COUNTIFS('Tasks'!$A$2:$A$224,O100)=1,INDEX('Tasks'!$M$2:$M$224,MATCH(O100,'Tasks'!$A$2:$A$224,0)),"BAD ID"))</x:f>
        <x:v>0</x:v>
      </x:c>
    </x:row>
    <x:row r="101" ht="28" customHeight="1">
      <x:c r="A101" s="2" t="str">
        <x:v>E5-05</x:v>
      </x:c>
      <x:c r="B101" s="2" t="str">
        <x:f>IF(VLOOKUP(A101,'Tasks'!$A$2:$X$224,15,FALSE)="","",VLOOKUP(A101,'Tasks'!$A$2:$X$224,15,FALSE))</x:f>
        <x:v>E5-04,BL-E-01</x:v>
      </x:c>
      <x:c r="C101" s="13" t="n">
        <x:f>VLOOKUP(A101,'Tasks'!$A$2:$X$224,12,FALSE)</x:f>
        <x:v>46317</x:v>
      </x:c>
      <x:c r="D101" s="2" t="n">
        <x:f>IF(B101="",0,LEN(B101)-LEN(SUBSTITUTE(B101,",",""))+1)</x:f>
        <x:v>2</x:v>
      </x:c>
      <x:c r="E101" s="14" t="n">
        <x:f>MAX(P101:W101)</x:f>
        <x:v>46316</x:v>
      </x:c>
      <x:c r="F101" s="2" t="n">
        <x:f>COUNTIFS(P101:W101,"BAD ID")</x:f>
        <x:v>0</x:v>
      </x:c>
      <x:c r="G101" s="2" t="str">
        <x:f>IF(D101&gt;8,"TOO MANY",IF(F101&gt;0,"BAD ID",IF(C101&gt;=E101,"OK","LATE")))</x:f>
        <x:v>OK</x:v>
      </x:c>
      <x:c r="H101" s="2" t="str">
        <x:f>TRIM(MID(SUBSTITUTE($B101,",",REPT(" ",100)),1,100))</x:f>
        <x:v>E5-04</x:v>
      </x:c>
      <x:c r="I101" s="2" t="str">
        <x:f>TRIM(MID(SUBSTITUTE($B101,",",REPT(" ",100)),101,100))</x:f>
        <x:v>BL-E-01</x:v>
      </x:c>
      <x:c r="J101" s="2" t="str">
        <x:f>TRIM(MID(SUBSTITUTE($B101,",",REPT(" ",100)),201,100))</x:f>
      </x:c>
      <x:c r="K101" s="2" t="str">
        <x:f>TRIM(MID(SUBSTITUTE($B101,",",REPT(" ",100)),301,100))</x:f>
      </x:c>
      <x:c r="L101" s="2" t="str">
        <x:f>TRIM(MID(SUBSTITUTE($B101,",",REPT(" ",100)),401,100))</x:f>
      </x:c>
      <x:c r="M101" s="2" t="str">
        <x:f>TRIM(MID(SUBSTITUTE($B101,",",REPT(" ",100)),501,100))</x:f>
      </x:c>
      <x:c r="N101" s="2" t="str">
        <x:f>TRIM(MID(SUBSTITUTE($B101,",",REPT(" ",100)),601,100))</x:f>
      </x:c>
      <x:c r="O101" s="2" t="str">
        <x:f>TRIM(MID(SUBSTITUTE($B101,",",REPT(" ",100)),701,100))</x:f>
      </x:c>
      <x:c r="P101" s="14" t="n">
        <x:f>IF(H101="",0,IF(COUNTIFS('Tasks'!$A$2:$A$224,H101)=1,INDEX('Tasks'!$M$2:$M$224,MATCH(H101,'Tasks'!$A$2:$A$224,0)),"BAD ID"))</x:f>
        <x:v>46316</x:v>
      </x:c>
      <x:c r="Q101" s="14" t="n">
        <x:f>IF(I101="",0,IF(COUNTIFS('Tasks'!$A$2:$A$224,I101)=1,INDEX('Tasks'!$M$2:$M$224,MATCH(I101,'Tasks'!$A$2:$A$224,0)),"BAD ID"))</x:f>
        <x:v>46308</x:v>
      </x:c>
      <x:c r="R101" s="14" t="n">
        <x:f>IF(J101="",0,IF(COUNTIFS('Tasks'!$A$2:$A$224,J101)=1,INDEX('Tasks'!$M$2:$M$224,MATCH(J101,'Tasks'!$A$2:$A$224,0)),"BAD ID"))</x:f>
        <x:v>0</x:v>
      </x:c>
      <x:c r="S101" s="14" t="n">
        <x:f>IF(K101="",0,IF(COUNTIFS('Tasks'!$A$2:$A$224,K101)=1,INDEX('Tasks'!$M$2:$M$224,MATCH(K101,'Tasks'!$A$2:$A$224,0)),"BAD ID"))</x:f>
        <x:v>0</x:v>
      </x:c>
      <x:c r="T101" s="14" t="n">
        <x:f>IF(L101="",0,IF(COUNTIFS('Tasks'!$A$2:$A$224,L101)=1,INDEX('Tasks'!$M$2:$M$224,MATCH(L101,'Tasks'!$A$2:$A$224,0)),"BAD ID"))</x:f>
        <x:v>0</x:v>
      </x:c>
      <x:c r="U101" s="14" t="n">
        <x:f>IF(M101="",0,IF(COUNTIFS('Tasks'!$A$2:$A$224,M101)=1,INDEX('Tasks'!$M$2:$M$224,MATCH(M101,'Tasks'!$A$2:$A$224,0)),"BAD ID"))</x:f>
        <x:v>0</x:v>
      </x:c>
      <x:c r="V101" s="14" t="n">
        <x:f>IF(N101="",0,IF(COUNTIFS('Tasks'!$A$2:$A$224,N101)=1,INDEX('Tasks'!$M$2:$M$224,MATCH(N101,'Tasks'!$A$2:$A$224,0)),"BAD ID"))</x:f>
        <x:v>0</x:v>
      </x:c>
      <x:c r="W101" s="14" t="n">
        <x:f>IF(O101="",0,IF(COUNTIFS('Tasks'!$A$2:$A$224,O101)=1,INDEX('Tasks'!$M$2:$M$224,MATCH(O101,'Tasks'!$A$2:$A$224,0)),"BAD ID"))</x:f>
        <x:v>0</x:v>
      </x:c>
    </x:row>
    <x:row r="102" ht="28" customHeight="1">
      <x:c r="A102" s="2" t="str">
        <x:v>E5-06</x:v>
      </x:c>
      <x:c r="B102" s="2" t="str">
        <x:f>IF(VLOOKUP(A102,'Tasks'!$A$2:$X$224,15,FALSE)="","",VLOOKUP(A102,'Tasks'!$A$2:$X$224,15,FALSE))</x:f>
        <x:v>G3-01,E5-03</x:v>
      </x:c>
      <x:c r="C102" s="13" t="n">
        <x:f>VLOOKUP(A102,'Tasks'!$A$2:$X$224,12,FALSE)</x:f>
        <x:v>46321</x:v>
      </x:c>
      <x:c r="D102" s="2" t="n">
        <x:f>IF(B102="",0,LEN(B102)-LEN(SUBSTITUTE(B102,",",""))+1)</x:f>
        <x:v>2</x:v>
      </x:c>
      <x:c r="E102" s="14" t="n">
        <x:f>MAX(P102:W102)</x:f>
        <x:v>46320</x:v>
      </x:c>
      <x:c r="F102" s="2" t="n">
        <x:f>COUNTIFS(P102:W102,"BAD ID")</x:f>
        <x:v>0</x:v>
      </x:c>
      <x:c r="G102" s="2" t="str">
        <x:f>IF(D102&gt;8,"TOO MANY",IF(F102&gt;0,"BAD ID",IF(C102&gt;=E102,"OK","LATE")))</x:f>
        <x:v>OK</x:v>
      </x:c>
      <x:c r="H102" s="2" t="str">
        <x:f>TRIM(MID(SUBSTITUTE($B102,",",REPT(" ",100)),1,100))</x:f>
        <x:v>G3-01</x:v>
      </x:c>
      <x:c r="I102" s="2" t="str">
        <x:f>TRIM(MID(SUBSTITUTE($B102,",",REPT(" ",100)),101,100))</x:f>
        <x:v>E5-03</x:v>
      </x:c>
      <x:c r="J102" s="2" t="str">
        <x:f>TRIM(MID(SUBSTITUTE($B102,",",REPT(" ",100)),201,100))</x:f>
      </x:c>
      <x:c r="K102" s="2" t="str">
        <x:f>TRIM(MID(SUBSTITUTE($B102,",",REPT(" ",100)),301,100))</x:f>
      </x:c>
      <x:c r="L102" s="2" t="str">
        <x:f>TRIM(MID(SUBSTITUTE($B102,",",REPT(" ",100)),401,100))</x:f>
      </x:c>
      <x:c r="M102" s="2" t="str">
        <x:f>TRIM(MID(SUBSTITUTE($B102,",",REPT(" ",100)),501,100))</x:f>
      </x:c>
      <x:c r="N102" s="2" t="str">
        <x:f>TRIM(MID(SUBSTITUTE($B102,",",REPT(" ",100)),601,100))</x:f>
      </x:c>
      <x:c r="O102" s="2" t="str">
        <x:f>TRIM(MID(SUBSTITUTE($B102,",",REPT(" ",100)),701,100))</x:f>
      </x:c>
      <x:c r="P102" s="14" t="n">
        <x:f>IF(H102="",0,IF(COUNTIFS('Tasks'!$A$2:$A$224,H102)=1,INDEX('Tasks'!$M$2:$M$224,MATCH(H102,'Tasks'!$A$2:$A$224,0)),"BAD ID"))</x:f>
        <x:v>46320</x:v>
      </x:c>
      <x:c r="Q102" s="14" t="n">
        <x:f>IF(I102="",0,IF(COUNTIFS('Tasks'!$A$2:$A$224,I102)=1,INDEX('Tasks'!$M$2:$M$224,MATCH(I102,'Tasks'!$A$2:$A$224,0)),"BAD ID"))</x:f>
        <x:v>46314</x:v>
      </x:c>
      <x:c r="R102" s="14" t="n">
        <x:f>IF(J102="",0,IF(COUNTIFS('Tasks'!$A$2:$A$224,J102)=1,INDEX('Tasks'!$M$2:$M$224,MATCH(J102,'Tasks'!$A$2:$A$224,0)),"BAD ID"))</x:f>
        <x:v>0</x:v>
      </x:c>
      <x:c r="S102" s="14" t="n">
        <x:f>IF(K102="",0,IF(COUNTIFS('Tasks'!$A$2:$A$224,K102)=1,INDEX('Tasks'!$M$2:$M$224,MATCH(K102,'Tasks'!$A$2:$A$224,0)),"BAD ID"))</x:f>
        <x:v>0</x:v>
      </x:c>
      <x:c r="T102" s="14" t="n">
        <x:f>IF(L102="",0,IF(COUNTIFS('Tasks'!$A$2:$A$224,L102)=1,INDEX('Tasks'!$M$2:$M$224,MATCH(L102,'Tasks'!$A$2:$A$224,0)),"BAD ID"))</x:f>
        <x:v>0</x:v>
      </x:c>
      <x:c r="U102" s="14" t="n">
        <x:f>IF(M102="",0,IF(COUNTIFS('Tasks'!$A$2:$A$224,M102)=1,INDEX('Tasks'!$M$2:$M$224,MATCH(M102,'Tasks'!$A$2:$A$224,0)),"BAD ID"))</x:f>
        <x:v>0</x:v>
      </x:c>
      <x:c r="V102" s="14" t="n">
        <x:f>IF(N102="",0,IF(COUNTIFS('Tasks'!$A$2:$A$224,N102)=1,INDEX('Tasks'!$M$2:$M$224,MATCH(N102,'Tasks'!$A$2:$A$224,0)),"BAD ID"))</x:f>
        <x:v>0</x:v>
      </x:c>
      <x:c r="W102" s="14" t="n">
        <x:f>IF(O102="",0,IF(COUNTIFS('Tasks'!$A$2:$A$224,O102)=1,INDEX('Tasks'!$M$2:$M$224,MATCH(O102,'Tasks'!$A$2:$A$224,0)),"BAD ID"))</x:f>
        <x:v>0</x:v>
      </x:c>
    </x:row>
    <x:row r="103" ht="28" customHeight="1">
      <x:c r="A103" s="2" t="str">
        <x:v>E5-07</x:v>
      </x:c>
      <x:c r="B103" s="2" t="str">
        <x:f>IF(VLOOKUP(A103,'Tasks'!$A$2:$X$224,15,FALSE)="","",VLOOKUP(A103,'Tasks'!$A$2:$X$224,15,FALSE))</x:f>
        <x:v>E5-06</x:v>
      </x:c>
      <x:c r="C103" s="13" t="n">
        <x:f>VLOOKUP(A103,'Tasks'!$A$2:$X$224,12,FALSE)</x:f>
        <x:v>46322</x:v>
      </x:c>
      <x:c r="D103" s="2" t="n">
        <x:f>IF(B103="",0,LEN(B103)-LEN(SUBSTITUTE(B103,",",""))+1)</x:f>
        <x:v>1</x:v>
      </x:c>
      <x:c r="E103" s="14" t="n">
        <x:f>MAX(P103:W103)</x:f>
        <x:v>46321</x:v>
      </x:c>
      <x:c r="F103" s="2" t="n">
        <x:f>COUNTIFS(P103:W103,"BAD ID")</x:f>
        <x:v>0</x:v>
      </x:c>
      <x:c r="G103" s="2" t="str">
        <x:f>IF(D103&gt;8,"TOO MANY",IF(F103&gt;0,"BAD ID",IF(C103&gt;=E103,"OK","LATE")))</x:f>
        <x:v>OK</x:v>
      </x:c>
      <x:c r="H103" s="2" t="str">
        <x:f>TRIM(MID(SUBSTITUTE($B103,",",REPT(" ",100)),1,100))</x:f>
        <x:v>E5-06</x:v>
      </x:c>
      <x:c r="I103" s="2" t="str">
        <x:f>TRIM(MID(SUBSTITUTE($B103,",",REPT(" ",100)),101,100))</x:f>
      </x:c>
      <x:c r="J103" s="2" t="str">
        <x:f>TRIM(MID(SUBSTITUTE($B103,",",REPT(" ",100)),201,100))</x:f>
      </x:c>
      <x:c r="K103" s="2" t="str">
        <x:f>TRIM(MID(SUBSTITUTE($B103,",",REPT(" ",100)),301,100))</x:f>
      </x:c>
      <x:c r="L103" s="2" t="str">
        <x:f>TRIM(MID(SUBSTITUTE($B103,",",REPT(" ",100)),401,100))</x:f>
      </x:c>
      <x:c r="M103" s="2" t="str">
        <x:f>TRIM(MID(SUBSTITUTE($B103,",",REPT(" ",100)),501,100))</x:f>
      </x:c>
      <x:c r="N103" s="2" t="str">
        <x:f>TRIM(MID(SUBSTITUTE($B103,",",REPT(" ",100)),601,100))</x:f>
      </x:c>
      <x:c r="O103" s="2" t="str">
        <x:f>TRIM(MID(SUBSTITUTE($B103,",",REPT(" ",100)),701,100))</x:f>
      </x:c>
      <x:c r="P103" s="14" t="n">
        <x:f>IF(H103="",0,IF(COUNTIFS('Tasks'!$A$2:$A$224,H103)=1,INDEX('Tasks'!$M$2:$M$224,MATCH(H103,'Tasks'!$A$2:$A$224,0)),"BAD ID"))</x:f>
        <x:v>46321</x:v>
      </x:c>
      <x:c r="Q103" s="14" t="n">
        <x:f>IF(I103="",0,IF(COUNTIFS('Tasks'!$A$2:$A$224,I103)=1,INDEX('Tasks'!$M$2:$M$224,MATCH(I103,'Tasks'!$A$2:$A$224,0)),"BAD ID"))</x:f>
        <x:v>0</x:v>
      </x:c>
      <x:c r="R103" s="14" t="n">
        <x:f>IF(J103="",0,IF(COUNTIFS('Tasks'!$A$2:$A$224,J103)=1,INDEX('Tasks'!$M$2:$M$224,MATCH(J103,'Tasks'!$A$2:$A$224,0)),"BAD ID"))</x:f>
        <x:v>0</x:v>
      </x:c>
      <x:c r="S103" s="14" t="n">
        <x:f>IF(K103="",0,IF(COUNTIFS('Tasks'!$A$2:$A$224,K103)=1,INDEX('Tasks'!$M$2:$M$224,MATCH(K103,'Tasks'!$A$2:$A$224,0)),"BAD ID"))</x:f>
        <x:v>0</x:v>
      </x:c>
      <x:c r="T103" s="14" t="n">
        <x:f>IF(L103="",0,IF(COUNTIFS('Tasks'!$A$2:$A$224,L103)=1,INDEX('Tasks'!$M$2:$M$224,MATCH(L103,'Tasks'!$A$2:$A$224,0)),"BAD ID"))</x:f>
        <x:v>0</x:v>
      </x:c>
      <x:c r="U103" s="14" t="n">
        <x:f>IF(M103="",0,IF(COUNTIFS('Tasks'!$A$2:$A$224,M103)=1,INDEX('Tasks'!$M$2:$M$224,MATCH(M103,'Tasks'!$A$2:$A$224,0)),"BAD ID"))</x:f>
        <x:v>0</x:v>
      </x:c>
      <x:c r="V103" s="14" t="n">
        <x:f>IF(N103="",0,IF(COUNTIFS('Tasks'!$A$2:$A$224,N103)=1,INDEX('Tasks'!$M$2:$M$224,MATCH(N103,'Tasks'!$A$2:$A$224,0)),"BAD ID"))</x:f>
        <x:v>0</x:v>
      </x:c>
      <x:c r="W103" s="14" t="n">
        <x:f>IF(O103="",0,IF(COUNTIFS('Tasks'!$A$2:$A$224,O103)=1,INDEX('Tasks'!$M$2:$M$224,MATCH(O103,'Tasks'!$A$2:$A$224,0)),"BAD ID"))</x:f>
        <x:v>0</x:v>
      </x:c>
    </x:row>
    <x:row r="104" ht="28" customHeight="1">
      <x:c r="A104" s="2" t="str">
        <x:v>E5-08</x:v>
      </x:c>
      <x:c r="B104" s="2" t="str">
        <x:f>IF(VLOOKUP(A104,'Tasks'!$A$2:$X$224,15,FALSE)="","",VLOOKUP(A104,'Tasks'!$A$2:$X$224,15,FALSE))</x:f>
        <x:v>E5-05,E5-06</x:v>
      </x:c>
      <x:c r="C104" s="13" t="n">
        <x:f>VLOOKUP(A104,'Tasks'!$A$2:$X$224,12,FALSE)</x:f>
        <x:v>46322</x:v>
      </x:c>
      <x:c r="D104" s="2" t="n">
        <x:f>IF(B104="",0,LEN(B104)-LEN(SUBSTITUTE(B104,",",""))+1)</x:f>
        <x:v>2</x:v>
      </x:c>
      <x:c r="E104" s="14" t="n">
        <x:f>MAX(P104:W104)</x:f>
        <x:v>46321</x:v>
      </x:c>
      <x:c r="F104" s="2" t="n">
        <x:f>COUNTIFS(P104:W104,"BAD ID")</x:f>
        <x:v>0</x:v>
      </x:c>
      <x:c r="G104" s="2" t="str">
        <x:f>IF(D104&gt;8,"TOO MANY",IF(F104&gt;0,"BAD ID",IF(C104&gt;=E104,"OK","LATE")))</x:f>
        <x:v>OK</x:v>
      </x:c>
      <x:c r="H104" s="2" t="str">
        <x:f>TRIM(MID(SUBSTITUTE($B104,",",REPT(" ",100)),1,100))</x:f>
        <x:v>E5-05</x:v>
      </x:c>
      <x:c r="I104" s="2" t="str">
        <x:f>TRIM(MID(SUBSTITUTE($B104,",",REPT(" ",100)),101,100))</x:f>
        <x:v>E5-06</x:v>
      </x:c>
      <x:c r="J104" s="2" t="str">
        <x:f>TRIM(MID(SUBSTITUTE($B104,",",REPT(" ",100)),201,100))</x:f>
      </x:c>
      <x:c r="K104" s="2" t="str">
        <x:f>TRIM(MID(SUBSTITUTE($B104,",",REPT(" ",100)),301,100))</x:f>
      </x:c>
      <x:c r="L104" s="2" t="str">
        <x:f>TRIM(MID(SUBSTITUTE($B104,",",REPT(" ",100)),401,100))</x:f>
      </x:c>
      <x:c r="M104" s="2" t="str">
        <x:f>TRIM(MID(SUBSTITUTE($B104,",",REPT(" ",100)),501,100))</x:f>
      </x:c>
      <x:c r="N104" s="2" t="str">
        <x:f>TRIM(MID(SUBSTITUTE($B104,",",REPT(" ",100)),601,100))</x:f>
      </x:c>
      <x:c r="O104" s="2" t="str">
        <x:f>TRIM(MID(SUBSTITUTE($B104,",",REPT(" ",100)),701,100))</x:f>
      </x:c>
      <x:c r="P104" s="14" t="n">
        <x:f>IF(H104="",0,IF(COUNTIFS('Tasks'!$A$2:$A$224,H104)=1,INDEX('Tasks'!$M$2:$M$224,MATCH(H104,'Tasks'!$A$2:$A$224,0)),"BAD ID"))</x:f>
        <x:v>46317</x:v>
      </x:c>
      <x:c r="Q104" s="14" t="n">
        <x:f>IF(I104="",0,IF(COUNTIFS('Tasks'!$A$2:$A$224,I104)=1,INDEX('Tasks'!$M$2:$M$224,MATCH(I104,'Tasks'!$A$2:$A$224,0)),"BAD ID"))</x:f>
        <x:v>46321</x:v>
      </x:c>
      <x:c r="R104" s="14" t="n">
        <x:f>IF(J104="",0,IF(COUNTIFS('Tasks'!$A$2:$A$224,J104)=1,INDEX('Tasks'!$M$2:$M$224,MATCH(J104,'Tasks'!$A$2:$A$224,0)),"BAD ID"))</x:f>
        <x:v>0</x:v>
      </x:c>
      <x:c r="S104" s="14" t="n">
        <x:f>IF(K104="",0,IF(COUNTIFS('Tasks'!$A$2:$A$224,K104)=1,INDEX('Tasks'!$M$2:$M$224,MATCH(K104,'Tasks'!$A$2:$A$224,0)),"BAD ID"))</x:f>
        <x:v>0</x:v>
      </x:c>
      <x:c r="T104" s="14" t="n">
        <x:f>IF(L104="",0,IF(COUNTIFS('Tasks'!$A$2:$A$224,L104)=1,INDEX('Tasks'!$M$2:$M$224,MATCH(L104,'Tasks'!$A$2:$A$224,0)),"BAD ID"))</x:f>
        <x:v>0</x:v>
      </x:c>
      <x:c r="U104" s="14" t="n">
        <x:f>IF(M104="",0,IF(COUNTIFS('Tasks'!$A$2:$A$224,M104)=1,INDEX('Tasks'!$M$2:$M$224,MATCH(M104,'Tasks'!$A$2:$A$224,0)),"BAD ID"))</x:f>
        <x:v>0</x:v>
      </x:c>
      <x:c r="V104" s="14" t="n">
        <x:f>IF(N104="",0,IF(COUNTIFS('Tasks'!$A$2:$A$224,N104)=1,INDEX('Tasks'!$M$2:$M$224,MATCH(N104,'Tasks'!$A$2:$A$224,0)),"BAD ID"))</x:f>
        <x:v>0</x:v>
      </x:c>
      <x:c r="W104" s="14" t="n">
        <x:f>IF(O104="",0,IF(COUNTIFS('Tasks'!$A$2:$A$224,O104)=1,INDEX('Tasks'!$M$2:$M$224,MATCH(O104,'Tasks'!$A$2:$A$224,0)),"BAD ID"))</x:f>
        <x:v>0</x:v>
      </x:c>
    </x:row>
    <x:row r="105" ht="28" customHeight="1">
      <x:c r="A105" s="2" t="str">
        <x:v>DOC-01</x:v>
      </x:c>
      <x:c r="B105" s="2" t="str">
        <x:f>IF(VLOOKUP(A105,'Tasks'!$A$2:$X$224,15,FALSE)="","",VLOOKUP(A105,'Tasks'!$A$2:$X$224,15,FALSE))</x:f>
        <x:v>PROC-01,BL-C-01</x:v>
      </x:c>
      <x:c r="C105" s="13" t="n">
        <x:f>VLOOKUP(A105,'Tasks'!$A$2:$X$224,12,FALSE)</x:f>
        <x:v>46310</x:v>
      </x:c>
      <x:c r="D105" s="2" t="n">
        <x:f>IF(B105="",0,LEN(B105)-LEN(SUBSTITUTE(B105,",",""))+1)</x:f>
        <x:v>2</x:v>
      </x:c>
      <x:c r="E105" s="14" t="n">
        <x:f>MAX(P105:W105)</x:f>
        <x:v>46307</x:v>
      </x:c>
      <x:c r="F105" s="2" t="n">
        <x:f>COUNTIFS(P105:W105,"BAD ID")</x:f>
        <x:v>0</x:v>
      </x:c>
      <x:c r="G105" s="2" t="str">
        <x:f>IF(D105&gt;8,"TOO MANY",IF(F105&gt;0,"BAD ID",IF(C105&gt;=E105,"OK","LATE")))</x:f>
        <x:v>OK</x:v>
      </x:c>
      <x:c r="H105" s="2" t="str">
        <x:f>TRIM(MID(SUBSTITUTE($B105,",",REPT(" ",100)),1,100))</x:f>
        <x:v>PROC-01</x:v>
      </x:c>
      <x:c r="I105" s="2" t="str">
        <x:f>TRIM(MID(SUBSTITUTE($B105,",",REPT(" ",100)),101,100))</x:f>
        <x:v>BL-C-01</x:v>
      </x:c>
      <x:c r="J105" s="2" t="str">
        <x:f>TRIM(MID(SUBSTITUTE($B105,",",REPT(" ",100)),201,100))</x:f>
      </x:c>
      <x:c r="K105" s="2" t="str">
        <x:f>TRIM(MID(SUBSTITUTE($B105,",",REPT(" ",100)),301,100))</x:f>
      </x:c>
      <x:c r="L105" s="2" t="str">
        <x:f>TRIM(MID(SUBSTITUTE($B105,",",REPT(" ",100)),401,100))</x:f>
      </x:c>
      <x:c r="M105" s="2" t="str">
        <x:f>TRIM(MID(SUBSTITUTE($B105,",",REPT(" ",100)),501,100))</x:f>
      </x:c>
      <x:c r="N105" s="2" t="str">
        <x:f>TRIM(MID(SUBSTITUTE($B105,",",REPT(" ",100)),601,100))</x:f>
      </x:c>
      <x:c r="O105" s="2" t="str">
        <x:f>TRIM(MID(SUBSTITUTE($B105,",",REPT(" ",100)),701,100))</x:f>
      </x:c>
      <x:c r="P105" s="14" t="n">
        <x:f>IF(H105="",0,IF(COUNTIFS('Tasks'!$A$2:$A$224,H105)=1,INDEX('Tasks'!$M$2:$M$224,MATCH(H105,'Tasks'!$A$2:$A$224,0)),"BAD ID"))</x:f>
        <x:v>46307</x:v>
      </x:c>
      <x:c r="Q105" s="14" t="n">
        <x:f>IF(I105="",0,IF(COUNTIFS('Tasks'!$A$2:$A$224,I105)=1,INDEX('Tasks'!$M$2:$M$224,MATCH(I105,'Tasks'!$A$2:$A$224,0)),"BAD ID"))</x:f>
        <x:v>46307</x:v>
      </x:c>
      <x:c r="R105" s="14" t="n">
        <x:f>IF(J105="",0,IF(COUNTIFS('Tasks'!$A$2:$A$224,J105)=1,INDEX('Tasks'!$M$2:$M$224,MATCH(J105,'Tasks'!$A$2:$A$224,0)),"BAD ID"))</x:f>
        <x:v>0</x:v>
      </x:c>
      <x:c r="S105" s="14" t="n">
        <x:f>IF(K105="",0,IF(COUNTIFS('Tasks'!$A$2:$A$224,K105)=1,INDEX('Tasks'!$M$2:$M$224,MATCH(K105,'Tasks'!$A$2:$A$224,0)),"BAD ID"))</x:f>
        <x:v>0</x:v>
      </x:c>
      <x:c r="T105" s="14" t="n">
        <x:f>IF(L105="",0,IF(COUNTIFS('Tasks'!$A$2:$A$224,L105)=1,INDEX('Tasks'!$M$2:$M$224,MATCH(L105,'Tasks'!$A$2:$A$224,0)),"BAD ID"))</x:f>
        <x:v>0</x:v>
      </x:c>
      <x:c r="U105" s="14" t="n">
        <x:f>IF(M105="",0,IF(COUNTIFS('Tasks'!$A$2:$A$224,M105)=1,INDEX('Tasks'!$M$2:$M$224,MATCH(M105,'Tasks'!$A$2:$A$224,0)),"BAD ID"))</x:f>
        <x:v>0</x:v>
      </x:c>
      <x:c r="V105" s="14" t="n">
        <x:f>IF(N105="",0,IF(COUNTIFS('Tasks'!$A$2:$A$224,N105)=1,INDEX('Tasks'!$M$2:$M$224,MATCH(N105,'Tasks'!$A$2:$A$224,0)),"BAD ID"))</x:f>
        <x:v>0</x:v>
      </x:c>
      <x:c r="W105" s="14" t="n">
        <x:f>IF(O105="",0,IF(COUNTIFS('Tasks'!$A$2:$A$224,O105)=1,INDEX('Tasks'!$M$2:$M$224,MATCH(O105,'Tasks'!$A$2:$A$224,0)),"BAD ID"))</x:f>
        <x:v>0</x:v>
      </x:c>
    </x:row>
    <x:row r="106" ht="28" customHeight="1">
      <x:c r="A106" s="2" t="str">
        <x:v>DOC-02</x:v>
      </x:c>
      <x:c r="B106" s="2" t="str">
        <x:f>IF(VLOOKUP(A106,'Tasks'!$A$2:$X$224,15,FALSE)="","",VLOOKUP(A106,'Tasks'!$A$2:$X$224,15,FALSE))</x:f>
        <x:v>DOC-01,G1-01</x:v>
      </x:c>
      <x:c r="C106" s="13" t="n">
        <x:f>VLOOKUP(A106,'Tasks'!$A$2:$X$224,12,FALSE)</x:f>
        <x:v>46315</x:v>
      </x:c>
      <x:c r="D106" s="2" t="n">
        <x:f>IF(B106="",0,LEN(B106)-LEN(SUBSTITUTE(B106,",",""))+1)</x:f>
        <x:v>2</x:v>
      </x:c>
      <x:c r="E106" s="14" t="n">
        <x:f>MAX(P106:W106)</x:f>
        <x:v>46313</x:v>
      </x:c>
      <x:c r="F106" s="2" t="n">
        <x:f>COUNTIFS(P106:W106,"BAD ID")</x:f>
        <x:v>0</x:v>
      </x:c>
      <x:c r="G106" s="2" t="str">
        <x:f>IF(D106&gt;8,"TOO MANY",IF(F106&gt;0,"BAD ID",IF(C106&gt;=E106,"OK","LATE")))</x:f>
        <x:v>OK</x:v>
      </x:c>
      <x:c r="H106" s="2" t="str">
        <x:f>TRIM(MID(SUBSTITUTE($B106,",",REPT(" ",100)),1,100))</x:f>
        <x:v>DOC-01</x:v>
      </x:c>
      <x:c r="I106" s="2" t="str">
        <x:f>TRIM(MID(SUBSTITUTE($B106,",",REPT(" ",100)),101,100))</x:f>
        <x:v>G1-01</x:v>
      </x:c>
      <x:c r="J106" s="2" t="str">
        <x:f>TRIM(MID(SUBSTITUTE($B106,",",REPT(" ",100)),201,100))</x:f>
      </x:c>
      <x:c r="K106" s="2" t="str">
        <x:f>TRIM(MID(SUBSTITUTE($B106,",",REPT(" ",100)),301,100))</x:f>
      </x:c>
      <x:c r="L106" s="2" t="str">
        <x:f>TRIM(MID(SUBSTITUTE($B106,",",REPT(" ",100)),401,100))</x:f>
      </x:c>
      <x:c r="M106" s="2" t="str">
        <x:f>TRIM(MID(SUBSTITUTE($B106,",",REPT(" ",100)),501,100))</x:f>
      </x:c>
      <x:c r="N106" s="2" t="str">
        <x:f>TRIM(MID(SUBSTITUTE($B106,",",REPT(" ",100)),601,100))</x:f>
      </x:c>
      <x:c r="O106" s="2" t="str">
        <x:f>TRIM(MID(SUBSTITUTE($B106,",",REPT(" ",100)),701,100))</x:f>
      </x:c>
      <x:c r="P106" s="14" t="n">
        <x:f>IF(H106="",0,IF(COUNTIFS('Tasks'!$A$2:$A$224,H106)=1,INDEX('Tasks'!$M$2:$M$224,MATCH(H106,'Tasks'!$A$2:$A$224,0)),"BAD ID"))</x:f>
        <x:v>46310</x:v>
      </x:c>
      <x:c r="Q106" s="14" t="n">
        <x:f>IF(I106="",0,IF(COUNTIFS('Tasks'!$A$2:$A$224,I106)=1,INDEX('Tasks'!$M$2:$M$224,MATCH(I106,'Tasks'!$A$2:$A$224,0)),"BAD ID"))</x:f>
        <x:v>46313</x:v>
      </x:c>
      <x:c r="R106" s="14" t="n">
        <x:f>IF(J106="",0,IF(COUNTIFS('Tasks'!$A$2:$A$224,J106)=1,INDEX('Tasks'!$M$2:$M$224,MATCH(J106,'Tasks'!$A$2:$A$224,0)),"BAD ID"))</x:f>
        <x:v>0</x:v>
      </x:c>
      <x:c r="S106" s="14" t="n">
        <x:f>IF(K106="",0,IF(COUNTIFS('Tasks'!$A$2:$A$224,K106)=1,INDEX('Tasks'!$M$2:$M$224,MATCH(K106,'Tasks'!$A$2:$A$224,0)),"BAD ID"))</x:f>
        <x:v>0</x:v>
      </x:c>
      <x:c r="T106" s="14" t="n">
        <x:f>IF(L106="",0,IF(COUNTIFS('Tasks'!$A$2:$A$224,L106)=1,INDEX('Tasks'!$M$2:$M$224,MATCH(L106,'Tasks'!$A$2:$A$224,0)),"BAD ID"))</x:f>
        <x:v>0</x:v>
      </x:c>
      <x:c r="U106" s="14" t="n">
        <x:f>IF(M106="",0,IF(COUNTIFS('Tasks'!$A$2:$A$224,M106)=1,INDEX('Tasks'!$M$2:$M$224,MATCH(M106,'Tasks'!$A$2:$A$224,0)),"BAD ID"))</x:f>
        <x:v>0</x:v>
      </x:c>
      <x:c r="V106" s="14" t="n">
        <x:f>IF(N106="",0,IF(COUNTIFS('Tasks'!$A$2:$A$224,N106)=1,INDEX('Tasks'!$M$2:$M$224,MATCH(N106,'Tasks'!$A$2:$A$224,0)),"BAD ID"))</x:f>
        <x:v>0</x:v>
      </x:c>
      <x:c r="W106" s="14" t="n">
        <x:f>IF(O106="",0,IF(COUNTIFS('Tasks'!$A$2:$A$224,O106)=1,INDEX('Tasks'!$M$2:$M$224,MATCH(O106,'Tasks'!$A$2:$A$224,0)),"BAD ID"))</x:f>
        <x:v>0</x:v>
      </x:c>
    </x:row>
    <x:row r="107" ht="28" customHeight="1">
      <x:c r="A107" s="2" t="str">
        <x:v>DOC-03</x:v>
      </x:c>
      <x:c r="B107" s="2" t="str">
        <x:f>IF(VLOOKUP(A107,'Tasks'!$A$2:$X$224,15,FALSE)="","",VLOOKUP(A107,'Tasks'!$A$2:$X$224,15,FALSE))</x:f>
        <x:v>BL-F-07,E4-07</x:v>
      </x:c>
      <x:c r="C107" s="13" t="n">
        <x:f>VLOOKUP(A107,'Tasks'!$A$2:$X$224,12,FALSE)</x:f>
        <x:v>46317</x:v>
      </x:c>
      <x:c r="D107" s="2" t="n">
        <x:f>IF(B107="",0,LEN(B107)-LEN(SUBSTITUTE(B107,",",""))+1)</x:f>
        <x:v>2</x:v>
      </x:c>
      <x:c r="E107" s="14" t="n">
        <x:f>MAX(P107:W107)</x:f>
        <x:v>46317</x:v>
      </x:c>
      <x:c r="F107" s="2" t="n">
        <x:f>COUNTIFS(P107:W107,"BAD ID")</x:f>
        <x:v>0</x:v>
      </x:c>
      <x:c r="G107" s="2" t="str">
        <x:f>IF(D107&gt;8,"TOO MANY",IF(F107&gt;0,"BAD ID",IF(C107&gt;=E107,"OK","LATE")))</x:f>
        <x:v>OK</x:v>
      </x:c>
      <x:c r="H107" s="2" t="str">
        <x:f>TRIM(MID(SUBSTITUTE($B107,",",REPT(" ",100)),1,100))</x:f>
        <x:v>BL-F-07</x:v>
      </x:c>
      <x:c r="I107" s="2" t="str">
        <x:f>TRIM(MID(SUBSTITUTE($B107,",",REPT(" ",100)),101,100))</x:f>
        <x:v>E4-07</x:v>
      </x:c>
      <x:c r="J107" s="2" t="str">
        <x:f>TRIM(MID(SUBSTITUTE($B107,",",REPT(" ",100)),201,100))</x:f>
      </x:c>
      <x:c r="K107" s="2" t="str">
        <x:f>TRIM(MID(SUBSTITUTE($B107,",",REPT(" ",100)),301,100))</x:f>
      </x:c>
      <x:c r="L107" s="2" t="str">
        <x:f>TRIM(MID(SUBSTITUTE($B107,",",REPT(" ",100)),401,100))</x:f>
      </x:c>
      <x:c r="M107" s="2" t="str">
        <x:f>TRIM(MID(SUBSTITUTE($B107,",",REPT(" ",100)),501,100))</x:f>
      </x:c>
      <x:c r="N107" s="2" t="str">
        <x:f>TRIM(MID(SUBSTITUTE($B107,",",REPT(" ",100)),601,100))</x:f>
      </x:c>
      <x:c r="O107" s="2" t="str">
        <x:f>TRIM(MID(SUBSTITUTE($B107,",",REPT(" ",100)),701,100))</x:f>
      </x:c>
      <x:c r="P107" s="14" t="n">
        <x:f>IF(H107="",0,IF(COUNTIFS('Tasks'!$A$2:$A$224,H107)=1,INDEX('Tasks'!$M$2:$M$224,MATCH(H107,'Tasks'!$A$2:$A$224,0)),"BAD ID"))</x:f>
        <x:v>46317</x:v>
      </x:c>
      <x:c r="Q107" s="14" t="n">
        <x:f>IF(I107="",0,IF(COUNTIFS('Tasks'!$A$2:$A$224,I107)=1,INDEX('Tasks'!$M$2:$M$224,MATCH(I107,'Tasks'!$A$2:$A$224,0)),"BAD ID"))</x:f>
        <x:v>46316</x:v>
      </x:c>
      <x:c r="R107" s="14" t="n">
        <x:f>IF(J107="",0,IF(COUNTIFS('Tasks'!$A$2:$A$224,J107)=1,INDEX('Tasks'!$M$2:$M$224,MATCH(J107,'Tasks'!$A$2:$A$224,0)),"BAD ID"))</x:f>
        <x:v>0</x:v>
      </x:c>
      <x:c r="S107" s="14" t="n">
        <x:f>IF(K107="",0,IF(COUNTIFS('Tasks'!$A$2:$A$224,K107)=1,INDEX('Tasks'!$M$2:$M$224,MATCH(K107,'Tasks'!$A$2:$A$224,0)),"BAD ID"))</x:f>
        <x:v>0</x:v>
      </x:c>
      <x:c r="T107" s="14" t="n">
        <x:f>IF(L107="",0,IF(COUNTIFS('Tasks'!$A$2:$A$224,L107)=1,INDEX('Tasks'!$M$2:$M$224,MATCH(L107,'Tasks'!$A$2:$A$224,0)),"BAD ID"))</x:f>
        <x:v>0</x:v>
      </x:c>
      <x:c r="U107" s="14" t="n">
        <x:f>IF(M107="",0,IF(COUNTIFS('Tasks'!$A$2:$A$224,M107)=1,INDEX('Tasks'!$M$2:$M$224,MATCH(M107,'Tasks'!$A$2:$A$224,0)),"BAD ID"))</x:f>
        <x:v>0</x:v>
      </x:c>
      <x:c r="V107" s="14" t="n">
        <x:f>IF(N107="",0,IF(COUNTIFS('Tasks'!$A$2:$A$224,N107)=1,INDEX('Tasks'!$M$2:$M$224,MATCH(N107,'Tasks'!$A$2:$A$224,0)),"BAD ID"))</x:f>
        <x:v>0</x:v>
      </x:c>
      <x:c r="W107" s="14" t="n">
        <x:f>IF(O107="",0,IF(COUNTIFS('Tasks'!$A$2:$A$224,O107)=1,INDEX('Tasks'!$M$2:$M$224,MATCH(O107,'Tasks'!$A$2:$A$224,0)),"BAD ID"))</x:f>
        <x:v>0</x:v>
      </x:c>
    </x:row>
    <x:row r="108" ht="28" customHeight="1">
      <x:c r="A108" s="2" t="str">
        <x:v>DOC-04</x:v>
      </x:c>
      <x:c r="B108" s="2" t="str">
        <x:f>IF(VLOOKUP(A108,'Tasks'!$A$2:$X$224,15,FALSE)="","",VLOOKUP(A108,'Tasks'!$A$2:$X$224,15,FALSE))</x:f>
        <x:v>TEST-08,TEST-09,DOC-02</x:v>
      </x:c>
      <x:c r="C108" s="13" t="n">
        <x:f>VLOOKUP(A108,'Tasks'!$A$2:$X$224,12,FALSE)</x:f>
        <x:v>46320</x:v>
      </x:c>
      <x:c r="D108" s="2" t="n">
        <x:f>IF(B108="",0,LEN(B108)-LEN(SUBSTITUTE(B108,",",""))+1)</x:f>
        <x:v>3</x:v>
      </x:c>
      <x:c r="E108" s="14" t="n">
        <x:f>MAX(P108:W108)</x:f>
        <x:v>46319</x:v>
      </x:c>
      <x:c r="F108" s="2" t="n">
        <x:f>COUNTIFS(P108:W108,"BAD ID")</x:f>
        <x:v>0</x:v>
      </x:c>
      <x:c r="G108" s="2" t="str">
        <x:f>IF(D108&gt;8,"TOO MANY",IF(F108&gt;0,"BAD ID",IF(C108&gt;=E108,"OK","LATE")))</x:f>
        <x:v>OK</x:v>
      </x:c>
      <x:c r="H108" s="2" t="str">
        <x:f>TRIM(MID(SUBSTITUTE($B108,",",REPT(" ",100)),1,100))</x:f>
        <x:v>TEST-08</x:v>
      </x:c>
      <x:c r="I108" s="2" t="str">
        <x:f>TRIM(MID(SUBSTITUTE($B108,",",REPT(" ",100)),101,100))</x:f>
        <x:v>TEST-09</x:v>
      </x:c>
      <x:c r="J108" s="2" t="str">
        <x:f>TRIM(MID(SUBSTITUTE($B108,",",REPT(" ",100)),201,100))</x:f>
        <x:v>DOC-02</x:v>
      </x:c>
      <x:c r="K108" s="2" t="str">
        <x:f>TRIM(MID(SUBSTITUTE($B108,",",REPT(" ",100)),301,100))</x:f>
      </x:c>
      <x:c r="L108" s="2" t="str">
        <x:f>TRIM(MID(SUBSTITUTE($B108,",",REPT(" ",100)),401,100))</x:f>
      </x:c>
      <x:c r="M108" s="2" t="str">
        <x:f>TRIM(MID(SUBSTITUTE($B108,",",REPT(" ",100)),501,100))</x:f>
      </x:c>
      <x:c r="N108" s="2" t="str">
        <x:f>TRIM(MID(SUBSTITUTE($B108,",",REPT(" ",100)),601,100))</x:f>
      </x:c>
      <x:c r="O108" s="2" t="str">
        <x:f>TRIM(MID(SUBSTITUTE($B108,",",REPT(" ",100)),701,100))</x:f>
      </x:c>
      <x:c r="P108" s="14" t="n">
        <x:f>IF(H108="",0,IF(COUNTIFS('Tasks'!$A$2:$A$224,H108)=1,INDEX('Tasks'!$M$2:$M$224,MATCH(H108,'Tasks'!$A$2:$A$224,0)),"BAD ID"))</x:f>
        <x:v>46319</x:v>
      </x:c>
      <x:c r="Q108" s="14" t="n">
        <x:f>IF(I108="",0,IF(COUNTIFS('Tasks'!$A$2:$A$224,I108)=1,INDEX('Tasks'!$M$2:$M$224,MATCH(I108,'Tasks'!$A$2:$A$224,0)),"BAD ID"))</x:f>
        <x:v>46319</x:v>
      </x:c>
      <x:c r="R108" s="14" t="n">
        <x:f>IF(J108="",0,IF(COUNTIFS('Tasks'!$A$2:$A$224,J108)=1,INDEX('Tasks'!$M$2:$M$224,MATCH(J108,'Tasks'!$A$2:$A$224,0)),"BAD ID"))</x:f>
        <x:v>46315</x:v>
      </x:c>
      <x:c r="S108" s="14" t="n">
        <x:f>IF(K108="",0,IF(COUNTIFS('Tasks'!$A$2:$A$224,K108)=1,INDEX('Tasks'!$M$2:$M$224,MATCH(K108,'Tasks'!$A$2:$A$224,0)),"BAD ID"))</x:f>
        <x:v>0</x:v>
      </x:c>
      <x:c r="T108" s="14" t="n">
        <x:f>IF(L108="",0,IF(COUNTIFS('Tasks'!$A$2:$A$224,L108)=1,INDEX('Tasks'!$M$2:$M$224,MATCH(L108,'Tasks'!$A$2:$A$224,0)),"BAD ID"))</x:f>
        <x:v>0</x:v>
      </x:c>
      <x:c r="U108" s="14" t="n">
        <x:f>IF(M108="",0,IF(COUNTIFS('Tasks'!$A$2:$A$224,M108)=1,INDEX('Tasks'!$M$2:$M$224,MATCH(M108,'Tasks'!$A$2:$A$224,0)),"BAD ID"))</x:f>
        <x:v>0</x:v>
      </x:c>
      <x:c r="V108" s="14" t="n">
        <x:f>IF(N108="",0,IF(COUNTIFS('Tasks'!$A$2:$A$224,N108)=1,INDEX('Tasks'!$M$2:$M$224,MATCH(N108,'Tasks'!$A$2:$A$224,0)),"BAD ID"))</x:f>
        <x:v>0</x:v>
      </x:c>
      <x:c r="W108" s="14" t="n">
        <x:f>IF(O108="",0,IF(COUNTIFS('Tasks'!$A$2:$A$224,O108)=1,INDEX('Tasks'!$M$2:$M$224,MATCH(O108,'Tasks'!$A$2:$A$224,0)),"BAD ID"))</x:f>
        <x:v>0</x:v>
      </x:c>
    </x:row>
    <x:row r="109" ht="28" customHeight="1">
      <x:c r="A109" s="2" t="str">
        <x:v>DOC-05</x:v>
      </x:c>
      <x:c r="B109" s="2" t="str">
        <x:f>IF(VLOOKUP(A109,'Tasks'!$A$2:$X$224,15,FALSE)="","",VLOOKUP(A109,'Tasks'!$A$2:$X$224,15,FALSE))</x:f>
        <x:v>RV-07,RV-08,DOC-03</x:v>
      </x:c>
      <x:c r="C109" s="13" t="n">
        <x:f>VLOOKUP(A109,'Tasks'!$A$2:$X$224,12,FALSE)</x:f>
        <x:v>46320</x:v>
      </x:c>
      <x:c r="D109" s="2" t="n">
        <x:f>IF(B109="",0,LEN(B109)-LEN(SUBSTITUTE(B109,",",""))+1)</x:f>
        <x:v>3</x:v>
      </x:c>
      <x:c r="E109" s="14" t="n">
        <x:f>MAX(P109:W109)</x:f>
        <x:v>46319</x:v>
      </x:c>
      <x:c r="F109" s="2" t="n">
        <x:f>COUNTIFS(P109:W109,"BAD ID")</x:f>
        <x:v>0</x:v>
      </x:c>
      <x:c r="G109" s="2" t="str">
        <x:f>IF(D109&gt;8,"TOO MANY",IF(F109&gt;0,"BAD ID",IF(C109&gt;=E109,"OK","LATE")))</x:f>
        <x:v>OK</x:v>
      </x:c>
      <x:c r="H109" s="2" t="str">
        <x:f>TRIM(MID(SUBSTITUTE($B109,",",REPT(" ",100)),1,100))</x:f>
        <x:v>RV-07</x:v>
      </x:c>
      <x:c r="I109" s="2" t="str">
        <x:f>TRIM(MID(SUBSTITUTE($B109,",",REPT(" ",100)),101,100))</x:f>
        <x:v>RV-08</x:v>
      </x:c>
      <x:c r="J109" s="2" t="str">
        <x:f>TRIM(MID(SUBSTITUTE($B109,",",REPT(" ",100)),201,100))</x:f>
        <x:v>DOC-03</x:v>
      </x:c>
      <x:c r="K109" s="2" t="str">
        <x:f>TRIM(MID(SUBSTITUTE($B109,",",REPT(" ",100)),301,100))</x:f>
      </x:c>
      <x:c r="L109" s="2" t="str">
        <x:f>TRIM(MID(SUBSTITUTE($B109,",",REPT(" ",100)),401,100))</x:f>
      </x:c>
      <x:c r="M109" s="2" t="str">
        <x:f>TRIM(MID(SUBSTITUTE($B109,",",REPT(" ",100)),501,100))</x:f>
      </x:c>
      <x:c r="N109" s="2" t="str">
        <x:f>TRIM(MID(SUBSTITUTE($B109,",",REPT(" ",100)),601,100))</x:f>
      </x:c>
      <x:c r="O109" s="2" t="str">
        <x:f>TRIM(MID(SUBSTITUTE($B109,",",REPT(" ",100)),701,100))</x:f>
      </x:c>
      <x:c r="P109" s="14" t="n">
        <x:f>IF(H109="",0,IF(COUNTIFS('Tasks'!$A$2:$A$224,H109)=1,INDEX('Tasks'!$M$2:$M$224,MATCH(H109,'Tasks'!$A$2:$A$224,0)),"BAD ID"))</x:f>
        <x:v>46319</x:v>
      </x:c>
      <x:c r="Q109" s="14" t="n">
        <x:f>IF(I109="",0,IF(COUNTIFS('Tasks'!$A$2:$A$224,I109)=1,INDEX('Tasks'!$M$2:$M$224,MATCH(I109,'Tasks'!$A$2:$A$224,0)),"BAD ID"))</x:f>
        <x:v>46319</x:v>
      </x:c>
      <x:c r="R109" s="14" t="n">
        <x:f>IF(J109="",0,IF(COUNTIFS('Tasks'!$A$2:$A$224,J109)=1,INDEX('Tasks'!$M$2:$M$224,MATCH(J109,'Tasks'!$A$2:$A$224,0)),"BAD ID"))</x:f>
        <x:v>46317</x:v>
      </x:c>
      <x:c r="S109" s="14" t="n">
        <x:f>IF(K109="",0,IF(COUNTIFS('Tasks'!$A$2:$A$224,K109)=1,INDEX('Tasks'!$M$2:$M$224,MATCH(K109,'Tasks'!$A$2:$A$224,0)),"BAD ID"))</x:f>
        <x:v>0</x:v>
      </x:c>
      <x:c r="T109" s="14" t="n">
        <x:f>IF(L109="",0,IF(COUNTIFS('Tasks'!$A$2:$A$224,L109)=1,INDEX('Tasks'!$M$2:$M$224,MATCH(L109,'Tasks'!$A$2:$A$224,0)),"BAD ID"))</x:f>
        <x:v>0</x:v>
      </x:c>
      <x:c r="U109" s="14" t="n">
        <x:f>IF(M109="",0,IF(COUNTIFS('Tasks'!$A$2:$A$224,M109)=1,INDEX('Tasks'!$M$2:$M$224,MATCH(M109,'Tasks'!$A$2:$A$224,0)),"BAD ID"))</x:f>
        <x:v>0</x:v>
      </x:c>
      <x:c r="V109" s="14" t="n">
        <x:f>IF(N109="",0,IF(COUNTIFS('Tasks'!$A$2:$A$224,N109)=1,INDEX('Tasks'!$M$2:$M$224,MATCH(N109,'Tasks'!$A$2:$A$224,0)),"BAD ID"))</x:f>
        <x:v>0</x:v>
      </x:c>
      <x:c r="W109" s="14" t="n">
        <x:f>IF(O109="",0,IF(COUNTIFS('Tasks'!$A$2:$A$224,O109)=1,INDEX('Tasks'!$M$2:$M$224,MATCH(O109,'Tasks'!$A$2:$A$224,0)),"BAD ID"))</x:f>
        <x:v>0</x:v>
      </x:c>
    </x:row>
    <x:row r="110" ht="28" customHeight="1">
      <x:c r="A110" s="2" t="str">
        <x:v>TEST-11</x:v>
      </x:c>
      <x:c r="B110" s="2" t="str">
        <x:f>IF(VLOOKUP(A110,'Tasks'!$A$2:$X$224,15,FALSE)="","",VLOOKUP(A110,'Tasks'!$A$2:$X$224,15,FALSE))</x:f>
        <x:v>G3-01,E1-04,E2-05,E3-04,E4-11,E5-06</x:v>
      </x:c>
      <x:c r="C110" s="13" t="n">
        <x:f>VLOOKUP(A110,'Tasks'!$A$2:$X$224,12,FALSE)</x:f>
        <x:v>46322</x:v>
      </x:c>
      <x:c r="D110" s="2" t="n">
        <x:f>IF(B110="",0,LEN(B110)-LEN(SUBSTITUTE(B110,",",""))+1)</x:f>
        <x:v>6</x:v>
      </x:c>
      <x:c r="E110" s="14" t="n">
        <x:f>MAX(P110:W110)</x:f>
        <x:v>46321</x:v>
      </x:c>
      <x:c r="F110" s="2" t="n">
        <x:f>COUNTIFS(P110:W110,"BAD ID")</x:f>
        <x:v>0</x:v>
      </x:c>
      <x:c r="G110" s="2" t="str">
        <x:f>IF(D110&gt;8,"TOO MANY",IF(F110&gt;0,"BAD ID",IF(C110&gt;=E110,"OK","LATE")))</x:f>
        <x:v>OK</x:v>
      </x:c>
      <x:c r="H110" s="2" t="str">
        <x:f>TRIM(MID(SUBSTITUTE($B110,",",REPT(" ",100)),1,100))</x:f>
        <x:v>G3-01</x:v>
      </x:c>
      <x:c r="I110" s="2" t="str">
        <x:f>TRIM(MID(SUBSTITUTE($B110,",",REPT(" ",100)),101,100))</x:f>
        <x:v>E1-04</x:v>
      </x:c>
      <x:c r="J110" s="2" t="str">
        <x:f>TRIM(MID(SUBSTITUTE($B110,",",REPT(" ",100)),201,100))</x:f>
        <x:v>E2-05</x:v>
      </x:c>
      <x:c r="K110" s="2" t="str">
        <x:f>TRIM(MID(SUBSTITUTE($B110,",",REPT(" ",100)),301,100))</x:f>
        <x:v>E3-04</x:v>
      </x:c>
      <x:c r="L110" s="2" t="str">
        <x:f>TRIM(MID(SUBSTITUTE($B110,",",REPT(" ",100)),401,100))</x:f>
        <x:v>E4-11</x:v>
      </x:c>
      <x:c r="M110" s="2" t="str">
        <x:f>TRIM(MID(SUBSTITUTE($B110,",",REPT(" ",100)),501,100))</x:f>
        <x:v>E5-06</x:v>
      </x:c>
      <x:c r="N110" s="2" t="str">
        <x:f>TRIM(MID(SUBSTITUTE($B110,",",REPT(" ",100)),601,100))</x:f>
      </x:c>
      <x:c r="O110" s="2" t="str">
        <x:f>TRIM(MID(SUBSTITUTE($B110,",",REPT(" ",100)),701,100))</x:f>
      </x:c>
      <x:c r="P110" s="14" t="n">
        <x:f>IF(H110="",0,IF(COUNTIFS('Tasks'!$A$2:$A$224,H110)=1,INDEX('Tasks'!$M$2:$M$224,MATCH(H110,'Tasks'!$A$2:$A$224,0)),"BAD ID"))</x:f>
        <x:v>46320</x:v>
      </x:c>
      <x:c r="Q110" s="14" t="n">
        <x:f>IF(I110="",0,IF(COUNTIFS('Tasks'!$A$2:$A$224,I110)=1,INDEX('Tasks'!$M$2:$M$224,MATCH(I110,'Tasks'!$A$2:$A$224,0)),"BAD ID"))</x:f>
        <x:v>46321</x:v>
      </x:c>
      <x:c r="R110" s="14" t="n">
        <x:f>IF(J110="",0,IF(COUNTIFS('Tasks'!$A$2:$A$224,J110)=1,INDEX('Tasks'!$M$2:$M$224,MATCH(J110,'Tasks'!$A$2:$A$224,0)),"BAD ID"))</x:f>
        <x:v>46321</x:v>
      </x:c>
      <x:c r="S110" s="14" t="n">
        <x:f>IF(K110="",0,IF(COUNTIFS('Tasks'!$A$2:$A$224,K110)=1,INDEX('Tasks'!$M$2:$M$224,MATCH(K110,'Tasks'!$A$2:$A$224,0)),"BAD ID"))</x:f>
        <x:v>46321</x:v>
      </x:c>
      <x:c r="T110" s="14" t="n">
        <x:f>IF(L110="",0,IF(COUNTIFS('Tasks'!$A$2:$A$224,L110)=1,INDEX('Tasks'!$M$2:$M$224,MATCH(L110,'Tasks'!$A$2:$A$224,0)),"BAD ID"))</x:f>
        <x:v>46321</x:v>
      </x:c>
      <x:c r="U110" s="14" t="n">
        <x:f>IF(M110="",0,IF(COUNTIFS('Tasks'!$A$2:$A$224,M110)=1,INDEX('Tasks'!$M$2:$M$224,MATCH(M110,'Tasks'!$A$2:$A$224,0)),"BAD ID"))</x:f>
        <x:v>46321</x:v>
      </x:c>
      <x:c r="V110" s="14" t="n">
        <x:f>IF(N110="",0,IF(COUNTIFS('Tasks'!$A$2:$A$224,N110)=1,INDEX('Tasks'!$M$2:$M$224,MATCH(N110,'Tasks'!$A$2:$A$224,0)),"BAD ID"))</x:f>
        <x:v>0</x:v>
      </x:c>
      <x:c r="W110" s="14" t="n">
        <x:f>IF(O110="",0,IF(COUNTIFS('Tasks'!$A$2:$A$224,O110)=1,INDEX('Tasks'!$M$2:$M$224,MATCH(O110,'Tasks'!$A$2:$A$224,0)),"BAD ID"))</x:f>
        <x:v>0</x:v>
      </x:c>
    </x:row>
    <x:row r="111" ht="28" customHeight="1">
      <x:c r="A111" s="2" t="str">
        <x:v>G4-01</x:v>
      </x:c>
      <x:c r="B111" s="2" t="str">
        <x:f>IF(VLOOKUP(A111,'Tasks'!$A$2:$X$224,15,FALSE)="","",VLOOKUP(A111,'Tasks'!$A$2:$X$224,15,FALSE))</x:f>
        <x:v>E1-05,E2-06,E3-05,E4-12,E5-07,TEST-11</x:v>
      </x:c>
      <x:c r="C111" s="13" t="n">
        <x:f>VLOOKUP(A111,'Tasks'!$A$2:$X$224,12,FALSE)</x:f>
        <x:v>46323</x:v>
      </x:c>
      <x:c r="D111" s="2" t="n">
        <x:f>IF(B111="",0,LEN(B111)-LEN(SUBSTITUTE(B111,",",""))+1)</x:f>
        <x:v>6</x:v>
      </x:c>
      <x:c r="E111" s="14" t="n">
        <x:f>MAX(P111:W111)</x:f>
        <x:v>46322</x:v>
      </x:c>
      <x:c r="F111" s="2" t="n">
        <x:f>COUNTIFS(P111:W111,"BAD ID")</x:f>
        <x:v>0</x:v>
      </x:c>
      <x:c r="G111" s="2" t="str">
        <x:f>IF(D111&gt;8,"TOO MANY",IF(F111&gt;0,"BAD ID",IF(C111&gt;=E111,"OK","LATE")))</x:f>
        <x:v>OK</x:v>
      </x:c>
      <x:c r="H111" s="2" t="str">
        <x:f>TRIM(MID(SUBSTITUTE($B111,",",REPT(" ",100)),1,100))</x:f>
        <x:v>E1-05</x:v>
      </x:c>
      <x:c r="I111" s="2" t="str">
        <x:f>TRIM(MID(SUBSTITUTE($B111,",",REPT(" ",100)),101,100))</x:f>
        <x:v>E2-06</x:v>
      </x:c>
      <x:c r="J111" s="2" t="str">
        <x:f>TRIM(MID(SUBSTITUTE($B111,",",REPT(" ",100)),201,100))</x:f>
        <x:v>E3-05</x:v>
      </x:c>
      <x:c r="K111" s="2" t="str">
        <x:f>TRIM(MID(SUBSTITUTE($B111,",",REPT(" ",100)),301,100))</x:f>
        <x:v>E4-12</x:v>
      </x:c>
      <x:c r="L111" s="2" t="str">
        <x:f>TRIM(MID(SUBSTITUTE($B111,",",REPT(" ",100)),401,100))</x:f>
        <x:v>E5-07</x:v>
      </x:c>
      <x:c r="M111" s="2" t="str">
        <x:f>TRIM(MID(SUBSTITUTE($B111,",",REPT(" ",100)),501,100))</x:f>
        <x:v>TEST-11</x:v>
      </x:c>
      <x:c r="N111" s="2" t="str">
        <x:f>TRIM(MID(SUBSTITUTE($B111,",",REPT(" ",100)),601,100))</x:f>
      </x:c>
      <x:c r="O111" s="2" t="str">
        <x:f>TRIM(MID(SUBSTITUTE($B111,",",REPT(" ",100)),701,100))</x:f>
      </x:c>
      <x:c r="P111" s="14" t="n">
        <x:f>IF(H111="",0,IF(COUNTIFS('Tasks'!$A$2:$A$224,H111)=1,INDEX('Tasks'!$M$2:$M$224,MATCH(H111,'Tasks'!$A$2:$A$224,0)),"BAD ID"))</x:f>
        <x:v>46322</x:v>
      </x:c>
      <x:c r="Q111" s="14" t="n">
        <x:f>IF(I111="",0,IF(COUNTIFS('Tasks'!$A$2:$A$224,I111)=1,INDEX('Tasks'!$M$2:$M$224,MATCH(I111,'Tasks'!$A$2:$A$224,0)),"BAD ID"))</x:f>
        <x:v>46322</x:v>
      </x:c>
      <x:c r="R111" s="14" t="n">
        <x:f>IF(J111="",0,IF(COUNTIFS('Tasks'!$A$2:$A$224,J111)=1,INDEX('Tasks'!$M$2:$M$224,MATCH(J111,'Tasks'!$A$2:$A$224,0)),"BAD ID"))</x:f>
        <x:v>46322</x:v>
      </x:c>
      <x:c r="S111" s="14" t="n">
        <x:f>IF(K111="",0,IF(COUNTIFS('Tasks'!$A$2:$A$224,K111)=1,INDEX('Tasks'!$M$2:$M$224,MATCH(K111,'Tasks'!$A$2:$A$224,0)),"BAD ID"))</x:f>
        <x:v>46322</x:v>
      </x:c>
      <x:c r="T111" s="14" t="n">
        <x:f>IF(L111="",0,IF(COUNTIFS('Tasks'!$A$2:$A$224,L111)=1,INDEX('Tasks'!$M$2:$M$224,MATCH(L111,'Tasks'!$A$2:$A$224,0)),"BAD ID"))</x:f>
        <x:v>46322</x:v>
      </x:c>
      <x:c r="U111" s="14" t="n">
        <x:f>IF(M111="",0,IF(COUNTIFS('Tasks'!$A$2:$A$224,M111)=1,INDEX('Tasks'!$M$2:$M$224,MATCH(M111,'Tasks'!$A$2:$A$224,0)),"BAD ID"))</x:f>
        <x:v>46322</x:v>
      </x:c>
      <x:c r="V111" s="14" t="n">
        <x:f>IF(N111="",0,IF(COUNTIFS('Tasks'!$A$2:$A$224,N111)=1,INDEX('Tasks'!$M$2:$M$224,MATCH(N111,'Tasks'!$A$2:$A$224,0)),"BAD ID"))</x:f>
        <x:v>0</x:v>
      </x:c>
      <x:c r="W111" s="14" t="n">
        <x:f>IF(O111="",0,IF(COUNTIFS('Tasks'!$A$2:$A$224,O111)=1,INDEX('Tasks'!$M$2:$M$224,MATCH(O111,'Tasks'!$A$2:$A$224,0)),"BAD ID"))</x:f>
        <x:v>0</x:v>
      </x:c>
    </x:row>
    <x:row r="112" ht="28" customHeight="1">
      <x:c r="A112" s="2" t="str">
        <x:v>DOC-06</x:v>
      </x:c>
      <x:c r="B112" s="2" t="str">
        <x:f>IF(VLOOKUP(A112,'Tasks'!$A$2:$X$224,15,FALSE)="","",VLOOKUP(A112,'Tasks'!$A$2:$X$224,15,FALSE))</x:f>
        <x:v>DOC-04,E4-10,E1-03</x:v>
      </x:c>
      <x:c r="C112" s="13" t="n">
        <x:f>VLOOKUP(A112,'Tasks'!$A$2:$X$224,12,FALSE)</x:f>
        <x:v>46323</x:v>
      </x:c>
      <x:c r="D112" s="2" t="n">
        <x:f>IF(B112="",0,LEN(B112)-LEN(SUBSTITUTE(B112,",",""))+1)</x:f>
        <x:v>3</x:v>
      </x:c>
      <x:c r="E112" s="14" t="n">
        <x:f>MAX(P112:W112)</x:f>
        <x:v>46321</x:v>
      </x:c>
      <x:c r="F112" s="2" t="n">
        <x:f>COUNTIFS(P112:W112,"BAD ID")</x:f>
        <x:v>0</x:v>
      </x:c>
      <x:c r="G112" s="2" t="str">
        <x:f>IF(D112&gt;8,"TOO MANY",IF(F112&gt;0,"BAD ID",IF(C112&gt;=E112,"OK","LATE")))</x:f>
        <x:v>OK</x:v>
      </x:c>
      <x:c r="H112" s="2" t="str">
        <x:f>TRIM(MID(SUBSTITUTE($B112,",",REPT(" ",100)),1,100))</x:f>
        <x:v>DOC-04</x:v>
      </x:c>
      <x:c r="I112" s="2" t="str">
        <x:f>TRIM(MID(SUBSTITUTE($B112,",",REPT(" ",100)),101,100))</x:f>
        <x:v>E4-10</x:v>
      </x:c>
      <x:c r="J112" s="2" t="str">
        <x:f>TRIM(MID(SUBSTITUTE($B112,",",REPT(" ",100)),201,100))</x:f>
        <x:v>E1-03</x:v>
      </x:c>
      <x:c r="K112" s="2" t="str">
        <x:f>TRIM(MID(SUBSTITUTE($B112,",",REPT(" ",100)),301,100))</x:f>
      </x:c>
      <x:c r="L112" s="2" t="str">
        <x:f>TRIM(MID(SUBSTITUTE($B112,",",REPT(" ",100)),401,100))</x:f>
      </x:c>
      <x:c r="M112" s="2" t="str">
        <x:f>TRIM(MID(SUBSTITUTE($B112,",",REPT(" ",100)),501,100))</x:f>
      </x:c>
      <x:c r="N112" s="2" t="str">
        <x:f>TRIM(MID(SUBSTITUTE($B112,",",REPT(" ",100)),601,100))</x:f>
      </x:c>
      <x:c r="O112" s="2" t="str">
        <x:f>TRIM(MID(SUBSTITUTE($B112,",",REPT(" ",100)),701,100))</x:f>
      </x:c>
      <x:c r="P112" s="14" t="n">
        <x:f>IF(H112="",0,IF(COUNTIFS('Tasks'!$A$2:$A$224,H112)=1,INDEX('Tasks'!$M$2:$M$224,MATCH(H112,'Tasks'!$A$2:$A$224,0)),"BAD ID"))</x:f>
        <x:v>46320</x:v>
      </x:c>
      <x:c r="Q112" s="14" t="n">
        <x:f>IF(I112="",0,IF(COUNTIFS('Tasks'!$A$2:$A$224,I112)=1,INDEX('Tasks'!$M$2:$M$224,MATCH(I112,'Tasks'!$A$2:$A$224,0)),"BAD ID"))</x:f>
        <x:v>46321</x:v>
      </x:c>
      <x:c r="R112" s="14" t="n">
        <x:f>IF(J112="",0,IF(COUNTIFS('Tasks'!$A$2:$A$224,J112)=1,INDEX('Tasks'!$M$2:$M$224,MATCH(J112,'Tasks'!$A$2:$A$224,0)),"BAD ID"))</x:f>
        <x:v>46319</x:v>
      </x:c>
      <x:c r="S112" s="14" t="n">
        <x:f>IF(K112="",0,IF(COUNTIFS('Tasks'!$A$2:$A$224,K112)=1,INDEX('Tasks'!$M$2:$M$224,MATCH(K112,'Tasks'!$A$2:$A$224,0)),"BAD ID"))</x:f>
        <x:v>0</x:v>
      </x:c>
      <x:c r="T112" s="14" t="n">
        <x:f>IF(L112="",0,IF(COUNTIFS('Tasks'!$A$2:$A$224,L112)=1,INDEX('Tasks'!$M$2:$M$224,MATCH(L112,'Tasks'!$A$2:$A$224,0)),"BAD ID"))</x:f>
        <x:v>0</x:v>
      </x:c>
      <x:c r="U112" s="14" t="n">
        <x:f>IF(M112="",0,IF(COUNTIFS('Tasks'!$A$2:$A$224,M112)=1,INDEX('Tasks'!$M$2:$M$224,MATCH(M112,'Tasks'!$A$2:$A$224,0)),"BAD ID"))</x:f>
        <x:v>0</x:v>
      </x:c>
      <x:c r="V112" s="14" t="n">
        <x:f>IF(N112="",0,IF(COUNTIFS('Tasks'!$A$2:$A$224,N112)=1,INDEX('Tasks'!$M$2:$M$224,MATCH(N112,'Tasks'!$A$2:$A$224,0)),"BAD ID"))</x:f>
        <x:v>0</x:v>
      </x:c>
      <x:c r="W112" s="14" t="n">
        <x:f>IF(O112="",0,IF(COUNTIFS('Tasks'!$A$2:$A$224,O112)=1,INDEX('Tasks'!$M$2:$M$224,MATCH(O112,'Tasks'!$A$2:$A$224,0)),"BAD ID"))</x:f>
        <x:v>0</x:v>
      </x:c>
    </x:row>
    <x:row r="113" ht="28" customHeight="1">
      <x:c r="A113" s="2" t="str">
        <x:v>DOC-07</x:v>
      </x:c>
      <x:c r="B113" s="2" t="str">
        <x:f>IF(VLOOKUP(A113,'Tasks'!$A$2:$X$224,15,FALSE)="","",VLOOKUP(A113,'Tasks'!$A$2:$X$224,15,FALSE))</x:f>
        <x:v>G4-01,DOC-06</x:v>
      </x:c>
      <x:c r="C113" s="13" t="n">
        <x:f>VLOOKUP(A113,'Tasks'!$A$2:$X$224,12,FALSE)</x:f>
        <x:v>46324</x:v>
      </x:c>
      <x:c r="D113" s="2" t="n">
        <x:f>IF(B113="",0,LEN(B113)-LEN(SUBSTITUTE(B113,",",""))+1)</x:f>
        <x:v>2</x:v>
      </x:c>
      <x:c r="E113" s="14" t="n">
        <x:f>MAX(P113:W113)</x:f>
        <x:v>46323</x:v>
      </x:c>
      <x:c r="F113" s="2" t="n">
        <x:f>COUNTIFS(P113:W113,"BAD ID")</x:f>
        <x:v>0</x:v>
      </x:c>
      <x:c r="G113" s="2" t="str">
        <x:f>IF(D113&gt;8,"TOO MANY",IF(F113&gt;0,"BAD ID",IF(C113&gt;=E113,"OK","LATE")))</x:f>
        <x:v>OK</x:v>
      </x:c>
      <x:c r="H113" s="2" t="str">
        <x:f>TRIM(MID(SUBSTITUTE($B113,",",REPT(" ",100)),1,100))</x:f>
        <x:v>G4-01</x:v>
      </x:c>
      <x:c r="I113" s="2" t="str">
        <x:f>TRIM(MID(SUBSTITUTE($B113,",",REPT(" ",100)),101,100))</x:f>
        <x:v>DOC-06</x:v>
      </x:c>
      <x:c r="J113" s="2" t="str">
        <x:f>TRIM(MID(SUBSTITUTE($B113,",",REPT(" ",100)),201,100))</x:f>
      </x:c>
      <x:c r="K113" s="2" t="str">
        <x:f>TRIM(MID(SUBSTITUTE($B113,",",REPT(" ",100)),301,100))</x:f>
      </x:c>
      <x:c r="L113" s="2" t="str">
        <x:f>TRIM(MID(SUBSTITUTE($B113,",",REPT(" ",100)),401,100))</x:f>
      </x:c>
      <x:c r="M113" s="2" t="str">
        <x:f>TRIM(MID(SUBSTITUTE($B113,",",REPT(" ",100)),501,100))</x:f>
      </x:c>
      <x:c r="N113" s="2" t="str">
        <x:f>TRIM(MID(SUBSTITUTE($B113,",",REPT(" ",100)),601,100))</x:f>
      </x:c>
      <x:c r="O113" s="2" t="str">
        <x:f>TRIM(MID(SUBSTITUTE($B113,",",REPT(" ",100)),701,100))</x:f>
      </x:c>
      <x:c r="P113" s="14" t="n">
        <x:f>IF(H113="",0,IF(COUNTIFS('Tasks'!$A$2:$A$224,H113)=1,INDEX('Tasks'!$M$2:$M$224,MATCH(H113,'Tasks'!$A$2:$A$224,0)),"BAD ID"))</x:f>
        <x:v>46323</x:v>
      </x:c>
      <x:c r="Q113" s="14" t="n">
        <x:f>IF(I113="",0,IF(COUNTIFS('Tasks'!$A$2:$A$224,I113)=1,INDEX('Tasks'!$M$2:$M$224,MATCH(I113,'Tasks'!$A$2:$A$224,0)),"BAD ID"))</x:f>
        <x:v>46323</x:v>
      </x:c>
      <x:c r="R113" s="14" t="n">
        <x:f>IF(J113="",0,IF(COUNTIFS('Tasks'!$A$2:$A$224,J113)=1,INDEX('Tasks'!$M$2:$M$224,MATCH(J113,'Tasks'!$A$2:$A$224,0)),"BAD ID"))</x:f>
        <x:v>0</x:v>
      </x:c>
      <x:c r="S113" s="14" t="n">
        <x:f>IF(K113="",0,IF(COUNTIFS('Tasks'!$A$2:$A$224,K113)=1,INDEX('Tasks'!$M$2:$M$224,MATCH(K113,'Tasks'!$A$2:$A$224,0)),"BAD ID"))</x:f>
        <x:v>0</x:v>
      </x:c>
      <x:c r="T113" s="14" t="n">
        <x:f>IF(L113="",0,IF(COUNTIFS('Tasks'!$A$2:$A$224,L113)=1,INDEX('Tasks'!$M$2:$M$224,MATCH(L113,'Tasks'!$A$2:$A$224,0)),"BAD ID"))</x:f>
        <x:v>0</x:v>
      </x:c>
      <x:c r="U113" s="14" t="n">
        <x:f>IF(M113="",0,IF(COUNTIFS('Tasks'!$A$2:$A$224,M113)=1,INDEX('Tasks'!$M$2:$M$224,MATCH(M113,'Tasks'!$A$2:$A$224,0)),"BAD ID"))</x:f>
        <x:v>0</x:v>
      </x:c>
      <x:c r="V113" s="14" t="n">
        <x:f>IF(N113="",0,IF(COUNTIFS('Tasks'!$A$2:$A$224,N113)=1,INDEX('Tasks'!$M$2:$M$224,MATCH(N113,'Tasks'!$A$2:$A$224,0)),"BAD ID"))</x:f>
        <x:v>0</x:v>
      </x:c>
      <x:c r="W113" s="14" t="n">
        <x:f>IF(O113="",0,IF(COUNTIFS('Tasks'!$A$2:$A$224,O113)=1,INDEX('Tasks'!$M$2:$M$224,MATCH(O113,'Tasks'!$A$2:$A$224,0)),"BAD ID"))</x:f>
        <x:v>0</x:v>
      </x:c>
    </x:row>
    <x:row r="114" ht="28" customHeight="1">
      <x:c r="A114" s="2" t="str">
        <x:v>DOC-08</x:v>
      </x:c>
      <x:c r="B114" s="2" t="str">
        <x:f>IF(VLOOKUP(A114,'Tasks'!$A$2:$X$224,15,FALSE)="","",VLOOKUP(A114,'Tasks'!$A$2:$X$224,15,FALSE))</x:f>
        <x:v>DOC-05,G4-01</x:v>
      </x:c>
      <x:c r="C114" s="13" t="n">
        <x:f>VLOOKUP(A114,'Tasks'!$A$2:$X$224,12,FALSE)</x:f>
        <x:v>46324</x:v>
      </x:c>
      <x:c r="D114" s="2" t="n">
        <x:f>IF(B114="",0,LEN(B114)-LEN(SUBSTITUTE(B114,",",""))+1)</x:f>
        <x:v>2</x:v>
      </x:c>
      <x:c r="E114" s="14" t="n">
        <x:f>MAX(P114:W114)</x:f>
        <x:v>46323</x:v>
      </x:c>
      <x:c r="F114" s="2" t="n">
        <x:f>COUNTIFS(P114:W114,"BAD ID")</x:f>
        <x:v>0</x:v>
      </x:c>
      <x:c r="G114" s="2" t="str">
        <x:f>IF(D114&gt;8,"TOO MANY",IF(F114&gt;0,"BAD ID",IF(C114&gt;=E114,"OK","LATE")))</x:f>
        <x:v>OK</x:v>
      </x:c>
      <x:c r="H114" s="2" t="str">
        <x:f>TRIM(MID(SUBSTITUTE($B114,",",REPT(" ",100)),1,100))</x:f>
        <x:v>DOC-05</x:v>
      </x:c>
      <x:c r="I114" s="2" t="str">
        <x:f>TRIM(MID(SUBSTITUTE($B114,",",REPT(" ",100)),101,100))</x:f>
        <x:v>G4-01</x:v>
      </x:c>
      <x:c r="J114" s="2" t="str">
        <x:f>TRIM(MID(SUBSTITUTE($B114,",",REPT(" ",100)),201,100))</x:f>
      </x:c>
      <x:c r="K114" s="2" t="str">
        <x:f>TRIM(MID(SUBSTITUTE($B114,",",REPT(" ",100)),301,100))</x:f>
      </x:c>
      <x:c r="L114" s="2" t="str">
        <x:f>TRIM(MID(SUBSTITUTE($B114,",",REPT(" ",100)),401,100))</x:f>
      </x:c>
      <x:c r="M114" s="2" t="str">
        <x:f>TRIM(MID(SUBSTITUTE($B114,",",REPT(" ",100)),501,100))</x:f>
      </x:c>
      <x:c r="N114" s="2" t="str">
        <x:f>TRIM(MID(SUBSTITUTE($B114,",",REPT(" ",100)),601,100))</x:f>
      </x:c>
      <x:c r="O114" s="2" t="str">
        <x:f>TRIM(MID(SUBSTITUTE($B114,",",REPT(" ",100)),701,100))</x:f>
      </x:c>
      <x:c r="P114" s="14" t="n">
        <x:f>IF(H114="",0,IF(COUNTIFS('Tasks'!$A$2:$A$224,H114)=1,INDEX('Tasks'!$M$2:$M$224,MATCH(H114,'Tasks'!$A$2:$A$224,0)),"BAD ID"))</x:f>
        <x:v>46320</x:v>
      </x:c>
      <x:c r="Q114" s="14" t="n">
        <x:f>IF(I114="",0,IF(COUNTIFS('Tasks'!$A$2:$A$224,I114)=1,INDEX('Tasks'!$M$2:$M$224,MATCH(I114,'Tasks'!$A$2:$A$224,0)),"BAD ID"))</x:f>
        <x:v>46323</x:v>
      </x:c>
      <x:c r="R114" s="14" t="n">
        <x:f>IF(J114="",0,IF(COUNTIFS('Tasks'!$A$2:$A$224,J114)=1,INDEX('Tasks'!$M$2:$M$224,MATCH(J114,'Tasks'!$A$2:$A$224,0)),"BAD ID"))</x:f>
        <x:v>0</x:v>
      </x:c>
      <x:c r="S114" s="14" t="n">
        <x:f>IF(K114="",0,IF(COUNTIFS('Tasks'!$A$2:$A$224,K114)=1,INDEX('Tasks'!$M$2:$M$224,MATCH(K114,'Tasks'!$A$2:$A$224,0)),"BAD ID"))</x:f>
        <x:v>0</x:v>
      </x:c>
      <x:c r="T114" s="14" t="n">
        <x:f>IF(L114="",0,IF(COUNTIFS('Tasks'!$A$2:$A$224,L114)=1,INDEX('Tasks'!$M$2:$M$224,MATCH(L114,'Tasks'!$A$2:$A$224,0)),"BAD ID"))</x:f>
        <x:v>0</x:v>
      </x:c>
      <x:c r="U114" s="14" t="n">
        <x:f>IF(M114="",0,IF(COUNTIFS('Tasks'!$A$2:$A$224,M114)=1,INDEX('Tasks'!$M$2:$M$224,MATCH(M114,'Tasks'!$A$2:$A$224,0)),"BAD ID"))</x:f>
        <x:v>0</x:v>
      </x:c>
      <x:c r="V114" s="14" t="n">
        <x:f>IF(N114="",0,IF(COUNTIFS('Tasks'!$A$2:$A$224,N114)=1,INDEX('Tasks'!$M$2:$M$224,MATCH(N114,'Tasks'!$A$2:$A$224,0)),"BAD ID"))</x:f>
        <x:v>0</x:v>
      </x:c>
      <x:c r="W114" s="14" t="n">
        <x:f>IF(O114="",0,IF(COUNTIFS('Tasks'!$A$2:$A$224,O114)=1,INDEX('Tasks'!$M$2:$M$224,MATCH(O114,'Tasks'!$A$2:$A$224,0)),"BAD ID"))</x:f>
        <x:v>0</x:v>
      </x:c>
    </x:row>
    <x:row r="115" ht="28" customHeight="1">
      <x:c r="A115" s="2" t="str">
        <x:v>TEST-12</x:v>
      </x:c>
      <x:c r="B115" s="2" t="str">
        <x:f>IF(VLOOKUP(A115,'Tasks'!$A$2:$X$224,15,FALSE)="","",VLOOKUP(A115,'Tasks'!$A$2:$X$224,15,FALSE))</x:f>
        <x:v>G4-01,DOC-03</x:v>
      </x:c>
      <x:c r="C115" s="13" t="n">
        <x:f>VLOOKUP(A115,'Tasks'!$A$2:$X$224,12,FALSE)</x:f>
        <x:v>46324</x:v>
      </x:c>
      <x:c r="D115" s="2" t="n">
        <x:f>IF(B115="",0,LEN(B115)-LEN(SUBSTITUTE(B115,",",""))+1)</x:f>
        <x:v>2</x:v>
      </x:c>
      <x:c r="E115" s="14" t="n">
        <x:f>MAX(P115:W115)</x:f>
        <x:v>46323</x:v>
      </x:c>
      <x:c r="F115" s="2" t="n">
        <x:f>COUNTIFS(P115:W115,"BAD ID")</x:f>
        <x:v>0</x:v>
      </x:c>
      <x:c r="G115" s="2" t="str">
        <x:f>IF(D115&gt;8,"TOO MANY",IF(F115&gt;0,"BAD ID",IF(C115&gt;=E115,"OK","LATE")))</x:f>
        <x:v>OK</x:v>
      </x:c>
      <x:c r="H115" s="2" t="str">
        <x:f>TRIM(MID(SUBSTITUTE($B115,",",REPT(" ",100)),1,100))</x:f>
        <x:v>G4-01</x:v>
      </x:c>
      <x:c r="I115" s="2" t="str">
        <x:f>TRIM(MID(SUBSTITUTE($B115,",",REPT(" ",100)),101,100))</x:f>
        <x:v>DOC-03</x:v>
      </x:c>
      <x:c r="J115" s="2" t="str">
        <x:f>TRIM(MID(SUBSTITUTE($B115,",",REPT(" ",100)),201,100))</x:f>
      </x:c>
      <x:c r="K115" s="2" t="str">
        <x:f>TRIM(MID(SUBSTITUTE($B115,",",REPT(" ",100)),301,100))</x:f>
      </x:c>
      <x:c r="L115" s="2" t="str">
        <x:f>TRIM(MID(SUBSTITUTE($B115,",",REPT(" ",100)),401,100))</x:f>
      </x:c>
      <x:c r="M115" s="2" t="str">
        <x:f>TRIM(MID(SUBSTITUTE($B115,",",REPT(" ",100)),501,100))</x:f>
      </x:c>
      <x:c r="N115" s="2" t="str">
        <x:f>TRIM(MID(SUBSTITUTE($B115,",",REPT(" ",100)),601,100))</x:f>
      </x:c>
      <x:c r="O115" s="2" t="str">
        <x:f>TRIM(MID(SUBSTITUTE($B115,",",REPT(" ",100)),701,100))</x:f>
      </x:c>
      <x:c r="P115" s="14" t="n">
        <x:f>IF(H115="",0,IF(COUNTIFS('Tasks'!$A$2:$A$224,H115)=1,INDEX('Tasks'!$M$2:$M$224,MATCH(H115,'Tasks'!$A$2:$A$224,0)),"BAD ID"))</x:f>
        <x:v>46323</x:v>
      </x:c>
      <x:c r="Q115" s="14" t="n">
        <x:f>IF(I115="",0,IF(COUNTIFS('Tasks'!$A$2:$A$224,I115)=1,INDEX('Tasks'!$M$2:$M$224,MATCH(I115,'Tasks'!$A$2:$A$224,0)),"BAD ID"))</x:f>
        <x:v>46317</x:v>
      </x:c>
      <x:c r="R115" s="14" t="n">
        <x:f>IF(J115="",0,IF(COUNTIFS('Tasks'!$A$2:$A$224,J115)=1,INDEX('Tasks'!$M$2:$M$224,MATCH(J115,'Tasks'!$A$2:$A$224,0)),"BAD ID"))</x:f>
        <x:v>0</x:v>
      </x:c>
      <x:c r="S115" s="14" t="n">
        <x:f>IF(K115="",0,IF(COUNTIFS('Tasks'!$A$2:$A$224,K115)=1,INDEX('Tasks'!$M$2:$M$224,MATCH(K115,'Tasks'!$A$2:$A$224,0)),"BAD ID"))</x:f>
        <x:v>0</x:v>
      </x:c>
      <x:c r="T115" s="14" t="n">
        <x:f>IF(L115="",0,IF(COUNTIFS('Tasks'!$A$2:$A$224,L115)=1,INDEX('Tasks'!$M$2:$M$224,MATCH(L115,'Tasks'!$A$2:$A$224,0)),"BAD ID"))</x:f>
        <x:v>0</x:v>
      </x:c>
      <x:c r="U115" s="14" t="n">
        <x:f>IF(M115="",0,IF(COUNTIFS('Tasks'!$A$2:$A$224,M115)=1,INDEX('Tasks'!$M$2:$M$224,MATCH(M115,'Tasks'!$A$2:$A$224,0)),"BAD ID"))</x:f>
        <x:v>0</x:v>
      </x:c>
      <x:c r="V115" s="14" t="n">
        <x:f>IF(N115="",0,IF(COUNTIFS('Tasks'!$A$2:$A$224,N115)=1,INDEX('Tasks'!$M$2:$M$224,MATCH(N115,'Tasks'!$A$2:$A$224,0)),"BAD ID"))</x:f>
        <x:v>0</x:v>
      </x:c>
      <x:c r="W115" s="14" t="n">
        <x:f>IF(O115="",0,IF(COUNTIFS('Tasks'!$A$2:$A$224,O115)=1,INDEX('Tasks'!$M$2:$M$224,MATCH(O115,'Tasks'!$A$2:$A$224,0)),"BAD ID"))</x:f>
        <x:v>0</x:v>
      </x:c>
    </x:row>
    <x:row r="116" ht="28" customHeight="1">
      <x:c r="A116" s="2" t="str">
        <x:v>DEMO-01</x:v>
      </x:c>
      <x:c r="B116" s="2" t="str">
        <x:f>IF(VLOOKUP(A116,'Tasks'!$A$2:$X$224,15,FALSE)="","",VLOOKUP(A116,'Tasks'!$A$2:$X$224,15,FALSE))</x:f>
        <x:v>G4-01</x:v>
      </x:c>
      <x:c r="C116" s="13" t="n">
        <x:f>VLOOKUP(A116,'Tasks'!$A$2:$X$224,12,FALSE)</x:f>
        <x:v>46323</x:v>
      </x:c>
      <x:c r="D116" s="2" t="n">
        <x:f>IF(B116="",0,LEN(B116)-LEN(SUBSTITUTE(B116,",",""))+1)</x:f>
        <x:v>1</x:v>
      </x:c>
      <x:c r="E116" s="14" t="n">
        <x:f>MAX(P116:W116)</x:f>
        <x:v>46323</x:v>
      </x:c>
      <x:c r="F116" s="2" t="n">
        <x:f>COUNTIFS(P116:W116,"BAD ID")</x:f>
        <x:v>0</x:v>
      </x:c>
      <x:c r="G116" s="2" t="str">
        <x:f>IF(D116&gt;8,"TOO MANY",IF(F116&gt;0,"BAD ID",IF(C116&gt;=E116,"OK","LATE")))</x:f>
        <x:v>OK</x:v>
      </x:c>
      <x:c r="H116" s="2" t="str">
        <x:f>TRIM(MID(SUBSTITUTE($B116,",",REPT(" ",100)),1,100))</x:f>
        <x:v>G4-01</x:v>
      </x:c>
      <x:c r="I116" s="2" t="str">
        <x:f>TRIM(MID(SUBSTITUTE($B116,",",REPT(" ",100)),101,100))</x:f>
      </x:c>
      <x:c r="J116" s="2" t="str">
        <x:f>TRIM(MID(SUBSTITUTE($B116,",",REPT(" ",100)),201,100))</x:f>
      </x:c>
      <x:c r="K116" s="2" t="str">
        <x:f>TRIM(MID(SUBSTITUTE($B116,",",REPT(" ",100)),301,100))</x:f>
      </x:c>
      <x:c r="L116" s="2" t="str">
        <x:f>TRIM(MID(SUBSTITUTE($B116,",",REPT(" ",100)),401,100))</x:f>
      </x:c>
      <x:c r="M116" s="2" t="str">
        <x:f>TRIM(MID(SUBSTITUTE($B116,",",REPT(" ",100)),501,100))</x:f>
      </x:c>
      <x:c r="N116" s="2" t="str">
        <x:f>TRIM(MID(SUBSTITUTE($B116,",",REPT(" ",100)),601,100))</x:f>
      </x:c>
      <x:c r="O116" s="2" t="str">
        <x:f>TRIM(MID(SUBSTITUTE($B116,",",REPT(" ",100)),701,100))</x:f>
      </x:c>
      <x:c r="P116" s="14" t="n">
        <x:f>IF(H116="",0,IF(COUNTIFS('Tasks'!$A$2:$A$224,H116)=1,INDEX('Tasks'!$M$2:$M$224,MATCH(H116,'Tasks'!$A$2:$A$224,0)),"BAD ID"))</x:f>
        <x:v>46323</x:v>
      </x:c>
      <x:c r="Q116" s="14" t="n">
        <x:f>IF(I116="",0,IF(COUNTIFS('Tasks'!$A$2:$A$224,I116)=1,INDEX('Tasks'!$M$2:$M$224,MATCH(I116,'Tasks'!$A$2:$A$224,0)),"BAD ID"))</x:f>
        <x:v>0</x:v>
      </x:c>
      <x:c r="R116" s="14" t="n">
        <x:f>IF(J116="",0,IF(COUNTIFS('Tasks'!$A$2:$A$224,J116)=1,INDEX('Tasks'!$M$2:$M$224,MATCH(J116,'Tasks'!$A$2:$A$224,0)),"BAD ID"))</x:f>
        <x:v>0</x:v>
      </x:c>
      <x:c r="S116" s="14" t="n">
        <x:f>IF(K116="",0,IF(COUNTIFS('Tasks'!$A$2:$A$224,K116)=1,INDEX('Tasks'!$M$2:$M$224,MATCH(K116,'Tasks'!$A$2:$A$224,0)),"BAD ID"))</x:f>
        <x:v>0</x:v>
      </x:c>
      <x:c r="T116" s="14" t="n">
        <x:f>IF(L116="",0,IF(COUNTIFS('Tasks'!$A$2:$A$224,L116)=1,INDEX('Tasks'!$M$2:$M$224,MATCH(L116,'Tasks'!$A$2:$A$224,0)),"BAD ID"))</x:f>
        <x:v>0</x:v>
      </x:c>
      <x:c r="U116" s="14" t="n">
        <x:f>IF(M116="",0,IF(COUNTIFS('Tasks'!$A$2:$A$224,M116)=1,INDEX('Tasks'!$M$2:$M$224,MATCH(M116,'Tasks'!$A$2:$A$224,0)),"BAD ID"))</x:f>
        <x:v>0</x:v>
      </x:c>
      <x:c r="V116" s="14" t="n">
        <x:f>IF(N116="",0,IF(COUNTIFS('Tasks'!$A$2:$A$224,N116)=1,INDEX('Tasks'!$M$2:$M$224,MATCH(N116,'Tasks'!$A$2:$A$224,0)),"BAD ID"))</x:f>
        <x:v>0</x:v>
      </x:c>
      <x:c r="W116" s="14" t="n">
        <x:f>IF(O116="",0,IF(COUNTIFS('Tasks'!$A$2:$A$224,O116)=1,INDEX('Tasks'!$M$2:$M$224,MATCH(O116,'Tasks'!$A$2:$A$224,0)),"BAD ID"))</x:f>
        <x:v>0</x:v>
      </x:c>
    </x:row>
    <x:row r="117" ht="28" customHeight="1">
      <x:c r="A117" s="2" t="str">
        <x:v>DEMO-02</x:v>
      </x:c>
      <x:c r="B117" s="2" t="str">
        <x:f>IF(VLOOKUP(A117,'Tasks'!$A$2:$X$224,15,FALSE)="","",VLOOKUP(A117,'Tasks'!$A$2:$X$224,15,FALSE))</x:f>
        <x:v>DEMO-01,TEST-12</x:v>
      </x:c>
      <x:c r="C117" s="13" t="n">
        <x:f>VLOOKUP(A117,'Tasks'!$A$2:$X$224,12,FALSE)</x:f>
        <x:v>46324</x:v>
      </x:c>
      <x:c r="D117" s="2" t="n">
        <x:f>IF(B117="",0,LEN(B117)-LEN(SUBSTITUTE(B117,",",""))+1)</x:f>
        <x:v>2</x:v>
      </x:c>
      <x:c r="E117" s="14" t="n">
        <x:f>MAX(P117:W117)</x:f>
        <x:v>46324</x:v>
      </x:c>
      <x:c r="F117" s="2" t="n">
        <x:f>COUNTIFS(P117:W117,"BAD ID")</x:f>
        <x:v>0</x:v>
      </x:c>
      <x:c r="G117" s="2" t="str">
        <x:f>IF(D117&gt;8,"TOO MANY",IF(F117&gt;0,"BAD ID",IF(C117&gt;=E117,"OK","LATE")))</x:f>
        <x:v>OK</x:v>
      </x:c>
      <x:c r="H117" s="2" t="str">
        <x:f>TRIM(MID(SUBSTITUTE($B117,",",REPT(" ",100)),1,100))</x:f>
        <x:v>DEMO-01</x:v>
      </x:c>
      <x:c r="I117" s="2" t="str">
        <x:f>TRIM(MID(SUBSTITUTE($B117,",",REPT(" ",100)),101,100))</x:f>
        <x:v>TEST-12</x:v>
      </x:c>
      <x:c r="J117" s="2" t="str">
        <x:f>TRIM(MID(SUBSTITUTE($B117,",",REPT(" ",100)),201,100))</x:f>
      </x:c>
      <x:c r="K117" s="2" t="str">
        <x:f>TRIM(MID(SUBSTITUTE($B117,",",REPT(" ",100)),301,100))</x:f>
      </x:c>
      <x:c r="L117" s="2" t="str">
        <x:f>TRIM(MID(SUBSTITUTE($B117,",",REPT(" ",100)),401,100))</x:f>
      </x:c>
      <x:c r="M117" s="2" t="str">
        <x:f>TRIM(MID(SUBSTITUTE($B117,",",REPT(" ",100)),501,100))</x:f>
      </x:c>
      <x:c r="N117" s="2" t="str">
        <x:f>TRIM(MID(SUBSTITUTE($B117,",",REPT(" ",100)),601,100))</x:f>
      </x:c>
      <x:c r="O117" s="2" t="str">
        <x:f>TRIM(MID(SUBSTITUTE($B117,",",REPT(" ",100)),701,100))</x:f>
      </x:c>
      <x:c r="P117" s="14" t="n">
        <x:f>IF(H117="",0,IF(COUNTIFS('Tasks'!$A$2:$A$224,H117)=1,INDEX('Tasks'!$M$2:$M$224,MATCH(H117,'Tasks'!$A$2:$A$224,0)),"BAD ID"))</x:f>
        <x:v>46323</x:v>
      </x:c>
      <x:c r="Q117" s="14" t="n">
        <x:f>IF(I117="",0,IF(COUNTIFS('Tasks'!$A$2:$A$224,I117)=1,INDEX('Tasks'!$M$2:$M$224,MATCH(I117,'Tasks'!$A$2:$A$224,0)),"BAD ID"))</x:f>
        <x:v>46324</x:v>
      </x:c>
      <x:c r="R117" s="14" t="n">
        <x:f>IF(J117="",0,IF(COUNTIFS('Tasks'!$A$2:$A$224,J117)=1,INDEX('Tasks'!$M$2:$M$224,MATCH(J117,'Tasks'!$A$2:$A$224,0)),"BAD ID"))</x:f>
        <x:v>0</x:v>
      </x:c>
      <x:c r="S117" s="14" t="n">
        <x:f>IF(K117="",0,IF(COUNTIFS('Tasks'!$A$2:$A$224,K117)=1,INDEX('Tasks'!$M$2:$M$224,MATCH(K117,'Tasks'!$A$2:$A$224,0)),"BAD ID"))</x:f>
        <x:v>0</x:v>
      </x:c>
      <x:c r="T117" s="14" t="n">
        <x:f>IF(L117="",0,IF(COUNTIFS('Tasks'!$A$2:$A$224,L117)=1,INDEX('Tasks'!$M$2:$M$224,MATCH(L117,'Tasks'!$A$2:$A$224,0)),"BAD ID"))</x:f>
        <x:v>0</x:v>
      </x:c>
      <x:c r="U117" s="14" t="n">
        <x:f>IF(M117="",0,IF(COUNTIFS('Tasks'!$A$2:$A$224,M117)=1,INDEX('Tasks'!$M$2:$M$224,MATCH(M117,'Tasks'!$A$2:$A$224,0)),"BAD ID"))</x:f>
        <x:v>0</x:v>
      </x:c>
      <x:c r="V117" s="14" t="n">
        <x:f>IF(N117="",0,IF(COUNTIFS('Tasks'!$A$2:$A$224,N117)=1,INDEX('Tasks'!$M$2:$M$224,MATCH(N117,'Tasks'!$A$2:$A$224,0)),"BAD ID"))</x:f>
        <x:v>0</x:v>
      </x:c>
      <x:c r="W117" s="14" t="n">
        <x:f>IF(O117="",0,IF(COUNTIFS('Tasks'!$A$2:$A$224,O117)=1,INDEX('Tasks'!$M$2:$M$224,MATCH(O117,'Tasks'!$A$2:$A$224,0)),"BAD ID"))</x:f>
        <x:v>0</x:v>
      </x:c>
    </x:row>
    <x:row r="118" ht="28" customHeight="1">
      <x:c r="A118" s="2" t="str">
        <x:v>DOC-09</x:v>
      </x:c>
      <x:c r="B118" s="2" t="str">
        <x:f>IF(VLOOKUP(A118,'Tasks'!$A$2:$X$224,15,FALSE)="","",VLOOKUP(A118,'Tasks'!$A$2:$X$224,15,FALSE))</x:f>
        <x:v>DOC-07,DOC-06</x:v>
      </x:c>
      <x:c r="C118" s="13" t="n">
        <x:f>VLOOKUP(A118,'Tasks'!$A$2:$X$224,12,FALSE)</x:f>
        <x:v>46325</x:v>
      </x:c>
      <x:c r="D118" s="2" t="n">
        <x:f>IF(B118="",0,LEN(B118)-LEN(SUBSTITUTE(B118,",",""))+1)</x:f>
        <x:v>2</x:v>
      </x:c>
      <x:c r="E118" s="14" t="n">
        <x:f>MAX(P118:W118)</x:f>
        <x:v>46324</x:v>
      </x:c>
      <x:c r="F118" s="2" t="n">
        <x:f>COUNTIFS(P118:W118,"BAD ID")</x:f>
        <x:v>0</x:v>
      </x:c>
      <x:c r="G118" s="2" t="str">
        <x:f>IF(D118&gt;8,"TOO MANY",IF(F118&gt;0,"BAD ID",IF(C118&gt;=E118,"OK","LATE")))</x:f>
        <x:v>OK</x:v>
      </x:c>
      <x:c r="H118" s="2" t="str">
        <x:f>TRIM(MID(SUBSTITUTE($B118,",",REPT(" ",100)),1,100))</x:f>
        <x:v>DOC-07</x:v>
      </x:c>
      <x:c r="I118" s="2" t="str">
        <x:f>TRIM(MID(SUBSTITUTE($B118,",",REPT(" ",100)),101,100))</x:f>
        <x:v>DOC-06</x:v>
      </x:c>
      <x:c r="J118" s="2" t="str">
        <x:f>TRIM(MID(SUBSTITUTE($B118,",",REPT(" ",100)),201,100))</x:f>
      </x:c>
      <x:c r="K118" s="2" t="str">
        <x:f>TRIM(MID(SUBSTITUTE($B118,",",REPT(" ",100)),301,100))</x:f>
      </x:c>
      <x:c r="L118" s="2" t="str">
        <x:f>TRIM(MID(SUBSTITUTE($B118,",",REPT(" ",100)),401,100))</x:f>
      </x:c>
      <x:c r="M118" s="2" t="str">
        <x:f>TRIM(MID(SUBSTITUTE($B118,",",REPT(" ",100)),501,100))</x:f>
      </x:c>
      <x:c r="N118" s="2" t="str">
        <x:f>TRIM(MID(SUBSTITUTE($B118,",",REPT(" ",100)),601,100))</x:f>
      </x:c>
      <x:c r="O118" s="2" t="str">
        <x:f>TRIM(MID(SUBSTITUTE($B118,",",REPT(" ",100)),701,100))</x:f>
      </x:c>
      <x:c r="P118" s="14" t="n">
        <x:f>IF(H118="",0,IF(COUNTIFS('Tasks'!$A$2:$A$224,H118)=1,INDEX('Tasks'!$M$2:$M$224,MATCH(H118,'Tasks'!$A$2:$A$224,0)),"BAD ID"))</x:f>
        <x:v>46324</x:v>
      </x:c>
      <x:c r="Q118" s="14" t="n">
        <x:f>IF(I118="",0,IF(COUNTIFS('Tasks'!$A$2:$A$224,I118)=1,INDEX('Tasks'!$M$2:$M$224,MATCH(I118,'Tasks'!$A$2:$A$224,0)),"BAD ID"))</x:f>
        <x:v>46323</x:v>
      </x:c>
      <x:c r="R118" s="14" t="n">
        <x:f>IF(J118="",0,IF(COUNTIFS('Tasks'!$A$2:$A$224,J118)=1,INDEX('Tasks'!$M$2:$M$224,MATCH(J118,'Tasks'!$A$2:$A$224,0)),"BAD ID"))</x:f>
        <x:v>0</x:v>
      </x:c>
      <x:c r="S118" s="14" t="n">
        <x:f>IF(K118="",0,IF(COUNTIFS('Tasks'!$A$2:$A$224,K118)=1,INDEX('Tasks'!$M$2:$M$224,MATCH(K118,'Tasks'!$A$2:$A$224,0)),"BAD ID"))</x:f>
        <x:v>0</x:v>
      </x:c>
      <x:c r="T118" s="14" t="n">
        <x:f>IF(L118="",0,IF(COUNTIFS('Tasks'!$A$2:$A$224,L118)=1,INDEX('Tasks'!$M$2:$M$224,MATCH(L118,'Tasks'!$A$2:$A$224,0)),"BAD ID"))</x:f>
        <x:v>0</x:v>
      </x:c>
      <x:c r="U118" s="14" t="n">
        <x:f>IF(M118="",0,IF(COUNTIFS('Tasks'!$A$2:$A$224,M118)=1,INDEX('Tasks'!$M$2:$M$224,MATCH(M118,'Tasks'!$A$2:$A$224,0)),"BAD ID"))</x:f>
        <x:v>0</x:v>
      </x:c>
      <x:c r="V118" s="14" t="n">
        <x:f>IF(N118="",0,IF(COUNTIFS('Tasks'!$A$2:$A$224,N118)=1,INDEX('Tasks'!$M$2:$M$224,MATCH(N118,'Tasks'!$A$2:$A$224,0)),"BAD ID"))</x:f>
        <x:v>0</x:v>
      </x:c>
      <x:c r="W118" s="14" t="n">
        <x:f>IF(O118="",0,IF(COUNTIFS('Tasks'!$A$2:$A$224,O118)=1,INDEX('Tasks'!$M$2:$M$224,MATCH(O118,'Tasks'!$A$2:$A$224,0)),"BAD ID"))</x:f>
        <x:v>0</x:v>
      </x:c>
    </x:row>
    <x:row r="119" ht="28" customHeight="1">
      <x:c r="A119" s="2" t="str">
        <x:v>DOC-10</x:v>
      </x:c>
      <x:c r="B119" s="2" t="str">
        <x:f>IF(VLOOKUP(A119,'Tasks'!$A$2:$X$224,15,FALSE)="","",VLOOKUP(A119,'Tasks'!$A$2:$X$224,15,FALSE))</x:f>
        <x:v>DOC-09</x:v>
      </x:c>
      <x:c r="C119" s="13" t="n">
        <x:f>VLOOKUP(A119,'Tasks'!$A$2:$X$224,12,FALSE)</x:f>
        <x:v>46325</x:v>
      </x:c>
      <x:c r="D119" s="2" t="n">
        <x:f>IF(B119="",0,LEN(B119)-LEN(SUBSTITUTE(B119,",",""))+1)</x:f>
        <x:v>1</x:v>
      </x:c>
      <x:c r="E119" s="14" t="n">
        <x:f>MAX(P119:W119)</x:f>
        <x:v>46325</x:v>
      </x:c>
      <x:c r="F119" s="2" t="n">
        <x:f>COUNTIFS(P119:W119,"BAD ID")</x:f>
        <x:v>0</x:v>
      </x:c>
      <x:c r="G119" s="2" t="str">
        <x:f>IF(D119&gt;8,"TOO MANY",IF(F119&gt;0,"BAD ID",IF(C119&gt;=E119,"OK","LATE")))</x:f>
        <x:v>OK</x:v>
      </x:c>
      <x:c r="H119" s="2" t="str">
        <x:f>TRIM(MID(SUBSTITUTE($B119,",",REPT(" ",100)),1,100))</x:f>
        <x:v>DOC-09</x:v>
      </x:c>
      <x:c r="I119" s="2" t="str">
        <x:f>TRIM(MID(SUBSTITUTE($B119,",",REPT(" ",100)),101,100))</x:f>
      </x:c>
      <x:c r="J119" s="2" t="str">
        <x:f>TRIM(MID(SUBSTITUTE($B119,",",REPT(" ",100)),201,100))</x:f>
      </x:c>
      <x:c r="K119" s="2" t="str">
        <x:f>TRIM(MID(SUBSTITUTE($B119,",",REPT(" ",100)),301,100))</x:f>
      </x:c>
      <x:c r="L119" s="2" t="str">
        <x:f>TRIM(MID(SUBSTITUTE($B119,",",REPT(" ",100)),401,100))</x:f>
      </x:c>
      <x:c r="M119" s="2" t="str">
        <x:f>TRIM(MID(SUBSTITUTE($B119,",",REPT(" ",100)),501,100))</x:f>
      </x:c>
      <x:c r="N119" s="2" t="str">
        <x:f>TRIM(MID(SUBSTITUTE($B119,",",REPT(" ",100)),601,100))</x:f>
      </x:c>
      <x:c r="O119" s="2" t="str">
        <x:f>TRIM(MID(SUBSTITUTE($B119,",",REPT(" ",100)),701,100))</x:f>
      </x:c>
      <x:c r="P119" s="14" t="n">
        <x:f>IF(H119="",0,IF(COUNTIFS('Tasks'!$A$2:$A$224,H119)=1,INDEX('Tasks'!$M$2:$M$224,MATCH(H119,'Tasks'!$A$2:$A$224,0)),"BAD ID"))</x:f>
        <x:v>46325</x:v>
      </x:c>
      <x:c r="Q119" s="14" t="n">
        <x:f>IF(I119="",0,IF(COUNTIFS('Tasks'!$A$2:$A$224,I119)=1,INDEX('Tasks'!$M$2:$M$224,MATCH(I119,'Tasks'!$A$2:$A$224,0)),"BAD ID"))</x:f>
        <x:v>0</x:v>
      </x:c>
      <x:c r="R119" s="14" t="n">
        <x:f>IF(J119="",0,IF(COUNTIFS('Tasks'!$A$2:$A$224,J119)=1,INDEX('Tasks'!$M$2:$M$224,MATCH(J119,'Tasks'!$A$2:$A$224,0)),"BAD ID"))</x:f>
        <x:v>0</x:v>
      </x:c>
      <x:c r="S119" s="14" t="n">
        <x:f>IF(K119="",0,IF(COUNTIFS('Tasks'!$A$2:$A$224,K119)=1,INDEX('Tasks'!$M$2:$M$224,MATCH(K119,'Tasks'!$A$2:$A$224,0)),"BAD ID"))</x:f>
        <x:v>0</x:v>
      </x:c>
      <x:c r="T119" s="14" t="n">
        <x:f>IF(L119="",0,IF(COUNTIFS('Tasks'!$A$2:$A$224,L119)=1,INDEX('Tasks'!$M$2:$M$224,MATCH(L119,'Tasks'!$A$2:$A$224,0)),"BAD ID"))</x:f>
        <x:v>0</x:v>
      </x:c>
      <x:c r="U119" s="14" t="n">
        <x:f>IF(M119="",0,IF(COUNTIFS('Tasks'!$A$2:$A$224,M119)=1,INDEX('Tasks'!$M$2:$M$224,MATCH(M119,'Tasks'!$A$2:$A$224,0)),"BAD ID"))</x:f>
        <x:v>0</x:v>
      </x:c>
      <x:c r="V119" s="14" t="n">
        <x:f>IF(N119="",0,IF(COUNTIFS('Tasks'!$A$2:$A$224,N119)=1,INDEX('Tasks'!$M$2:$M$224,MATCH(N119,'Tasks'!$A$2:$A$224,0)),"BAD ID"))</x:f>
        <x:v>0</x:v>
      </x:c>
      <x:c r="W119" s="14" t="n">
        <x:f>IF(O119="",0,IF(COUNTIFS('Tasks'!$A$2:$A$224,O119)=1,INDEX('Tasks'!$M$2:$M$224,MATCH(O119,'Tasks'!$A$2:$A$224,0)),"BAD ID"))</x:f>
        <x:v>0</x:v>
      </x:c>
    </x:row>
    <x:row r="120" ht="28" customHeight="1">
      <x:c r="A120" s="2" t="str">
        <x:v>DEMO-03</x:v>
      </x:c>
      <x:c r="B120" s="2" t="str">
        <x:f>IF(VLOOKUP(A120,'Tasks'!$A$2:$X$224,15,FALSE)="","",VLOOKUP(A120,'Tasks'!$A$2:$X$224,15,FALSE))</x:f>
        <x:v>DEMO-02,TEST-12</x:v>
      </x:c>
      <x:c r="C120" s="13" t="n">
        <x:f>VLOOKUP(A120,'Tasks'!$A$2:$X$224,12,FALSE)</x:f>
        <x:v>46325</x:v>
      </x:c>
      <x:c r="D120" s="2" t="n">
        <x:f>IF(B120="",0,LEN(B120)-LEN(SUBSTITUTE(B120,",",""))+1)</x:f>
        <x:v>2</x:v>
      </x:c>
      <x:c r="E120" s="14" t="n">
        <x:f>MAX(P120:W120)</x:f>
        <x:v>46324</x:v>
      </x:c>
      <x:c r="F120" s="2" t="n">
        <x:f>COUNTIFS(P120:W120,"BAD ID")</x:f>
        <x:v>0</x:v>
      </x:c>
      <x:c r="G120" s="2" t="str">
        <x:f>IF(D120&gt;8,"TOO MANY",IF(F120&gt;0,"BAD ID",IF(C120&gt;=E120,"OK","LATE")))</x:f>
        <x:v>OK</x:v>
      </x:c>
      <x:c r="H120" s="2" t="str">
        <x:f>TRIM(MID(SUBSTITUTE($B120,",",REPT(" ",100)),1,100))</x:f>
        <x:v>DEMO-02</x:v>
      </x:c>
      <x:c r="I120" s="2" t="str">
        <x:f>TRIM(MID(SUBSTITUTE($B120,",",REPT(" ",100)),101,100))</x:f>
        <x:v>TEST-12</x:v>
      </x:c>
      <x:c r="J120" s="2" t="str">
        <x:f>TRIM(MID(SUBSTITUTE($B120,",",REPT(" ",100)),201,100))</x:f>
      </x:c>
      <x:c r="K120" s="2" t="str">
        <x:f>TRIM(MID(SUBSTITUTE($B120,",",REPT(" ",100)),301,100))</x:f>
      </x:c>
      <x:c r="L120" s="2" t="str">
        <x:f>TRIM(MID(SUBSTITUTE($B120,",",REPT(" ",100)),401,100))</x:f>
      </x:c>
      <x:c r="M120" s="2" t="str">
        <x:f>TRIM(MID(SUBSTITUTE($B120,",",REPT(" ",100)),501,100))</x:f>
      </x:c>
      <x:c r="N120" s="2" t="str">
        <x:f>TRIM(MID(SUBSTITUTE($B120,",",REPT(" ",100)),601,100))</x:f>
      </x:c>
      <x:c r="O120" s="2" t="str">
        <x:f>TRIM(MID(SUBSTITUTE($B120,",",REPT(" ",100)),701,100))</x:f>
      </x:c>
      <x:c r="P120" s="14" t="n">
        <x:f>IF(H120="",0,IF(COUNTIFS('Tasks'!$A$2:$A$224,H120)=1,INDEX('Tasks'!$M$2:$M$224,MATCH(H120,'Tasks'!$A$2:$A$224,0)),"BAD ID"))</x:f>
        <x:v>46324</x:v>
      </x:c>
      <x:c r="Q120" s="14" t="n">
        <x:f>IF(I120="",0,IF(COUNTIFS('Tasks'!$A$2:$A$224,I120)=1,INDEX('Tasks'!$M$2:$M$224,MATCH(I120,'Tasks'!$A$2:$A$224,0)),"BAD ID"))</x:f>
        <x:v>46324</x:v>
      </x:c>
      <x:c r="R120" s="14" t="n">
        <x:f>IF(J120="",0,IF(COUNTIFS('Tasks'!$A$2:$A$224,J120)=1,INDEX('Tasks'!$M$2:$M$224,MATCH(J120,'Tasks'!$A$2:$A$224,0)),"BAD ID"))</x:f>
        <x:v>0</x:v>
      </x:c>
      <x:c r="S120" s="14" t="n">
        <x:f>IF(K120="",0,IF(COUNTIFS('Tasks'!$A$2:$A$224,K120)=1,INDEX('Tasks'!$M$2:$M$224,MATCH(K120,'Tasks'!$A$2:$A$224,0)),"BAD ID"))</x:f>
        <x:v>0</x:v>
      </x:c>
      <x:c r="T120" s="14" t="n">
        <x:f>IF(L120="",0,IF(COUNTIFS('Tasks'!$A$2:$A$224,L120)=1,INDEX('Tasks'!$M$2:$M$224,MATCH(L120,'Tasks'!$A$2:$A$224,0)),"BAD ID"))</x:f>
        <x:v>0</x:v>
      </x:c>
      <x:c r="U120" s="14" t="n">
        <x:f>IF(M120="",0,IF(COUNTIFS('Tasks'!$A$2:$A$224,M120)=1,INDEX('Tasks'!$M$2:$M$224,MATCH(M120,'Tasks'!$A$2:$A$224,0)),"BAD ID"))</x:f>
        <x:v>0</x:v>
      </x:c>
      <x:c r="V120" s="14" t="n">
        <x:f>IF(N120="",0,IF(COUNTIFS('Tasks'!$A$2:$A$224,N120)=1,INDEX('Tasks'!$M$2:$M$224,MATCH(N120,'Tasks'!$A$2:$A$224,0)),"BAD ID"))</x:f>
        <x:v>0</x:v>
      </x:c>
      <x:c r="W120" s="14" t="n">
        <x:f>IF(O120="",0,IF(COUNTIFS('Tasks'!$A$2:$A$224,O120)=1,INDEX('Tasks'!$M$2:$M$224,MATCH(O120,'Tasks'!$A$2:$A$224,0)),"BAD ID"))</x:f>
        <x:v>0</x:v>
      </x:c>
    </x:row>
    <x:row r="121" ht="28" customHeight="1">
      <x:c r="A121" s="2" t="str">
        <x:v>DEMO-04</x:v>
      </x:c>
      <x:c r="B121" s="2" t="str">
        <x:f>IF(VLOOKUP(A121,'Tasks'!$A$2:$X$224,15,FALSE)="","",VLOOKUP(A121,'Tasks'!$A$2:$X$224,15,FALSE))</x:f>
        <x:v>DEMO-03,DOC-10</x:v>
      </x:c>
      <x:c r="C121" s="13" t="n">
        <x:f>VLOOKUP(A121,'Tasks'!$A$2:$X$224,12,FALSE)</x:f>
        <x:v>46326</x:v>
      </x:c>
      <x:c r="D121" s="2" t="n">
        <x:f>IF(B121="",0,LEN(B121)-LEN(SUBSTITUTE(B121,",",""))+1)</x:f>
        <x:v>2</x:v>
      </x:c>
      <x:c r="E121" s="14" t="n">
        <x:f>MAX(P121:W121)</x:f>
        <x:v>46325</x:v>
      </x:c>
      <x:c r="F121" s="2" t="n">
        <x:f>COUNTIFS(P121:W121,"BAD ID")</x:f>
        <x:v>0</x:v>
      </x:c>
      <x:c r="G121" s="2" t="str">
        <x:f>IF(D121&gt;8,"TOO MANY",IF(F121&gt;0,"BAD ID",IF(C121&gt;=E121,"OK","LATE")))</x:f>
        <x:v>OK</x:v>
      </x:c>
      <x:c r="H121" s="2" t="str">
        <x:f>TRIM(MID(SUBSTITUTE($B121,",",REPT(" ",100)),1,100))</x:f>
        <x:v>DEMO-03</x:v>
      </x:c>
      <x:c r="I121" s="2" t="str">
        <x:f>TRIM(MID(SUBSTITUTE($B121,",",REPT(" ",100)),101,100))</x:f>
        <x:v>DOC-10</x:v>
      </x:c>
      <x:c r="J121" s="2" t="str">
        <x:f>TRIM(MID(SUBSTITUTE($B121,",",REPT(" ",100)),201,100))</x:f>
      </x:c>
      <x:c r="K121" s="2" t="str">
        <x:f>TRIM(MID(SUBSTITUTE($B121,",",REPT(" ",100)),301,100))</x:f>
      </x:c>
      <x:c r="L121" s="2" t="str">
        <x:f>TRIM(MID(SUBSTITUTE($B121,",",REPT(" ",100)),401,100))</x:f>
      </x:c>
      <x:c r="M121" s="2" t="str">
        <x:f>TRIM(MID(SUBSTITUTE($B121,",",REPT(" ",100)),501,100))</x:f>
      </x:c>
      <x:c r="N121" s="2" t="str">
        <x:f>TRIM(MID(SUBSTITUTE($B121,",",REPT(" ",100)),601,100))</x:f>
      </x:c>
      <x:c r="O121" s="2" t="str">
        <x:f>TRIM(MID(SUBSTITUTE($B121,",",REPT(" ",100)),701,100))</x:f>
      </x:c>
      <x:c r="P121" s="14" t="n">
        <x:f>IF(H121="",0,IF(COUNTIFS('Tasks'!$A$2:$A$224,H121)=1,INDEX('Tasks'!$M$2:$M$224,MATCH(H121,'Tasks'!$A$2:$A$224,0)),"BAD ID"))</x:f>
        <x:v>46325</x:v>
      </x:c>
      <x:c r="Q121" s="14" t="n">
        <x:f>IF(I121="",0,IF(COUNTIFS('Tasks'!$A$2:$A$224,I121)=1,INDEX('Tasks'!$M$2:$M$224,MATCH(I121,'Tasks'!$A$2:$A$224,0)),"BAD ID"))</x:f>
        <x:v>46325</x:v>
      </x:c>
      <x:c r="R121" s="14" t="n">
        <x:f>IF(J121="",0,IF(COUNTIFS('Tasks'!$A$2:$A$224,J121)=1,INDEX('Tasks'!$M$2:$M$224,MATCH(J121,'Tasks'!$A$2:$A$224,0)),"BAD ID"))</x:f>
        <x:v>0</x:v>
      </x:c>
      <x:c r="S121" s="14" t="n">
        <x:f>IF(K121="",0,IF(COUNTIFS('Tasks'!$A$2:$A$224,K121)=1,INDEX('Tasks'!$M$2:$M$224,MATCH(K121,'Tasks'!$A$2:$A$224,0)),"BAD ID"))</x:f>
        <x:v>0</x:v>
      </x:c>
      <x:c r="T121" s="14" t="n">
        <x:f>IF(L121="",0,IF(COUNTIFS('Tasks'!$A$2:$A$224,L121)=1,INDEX('Tasks'!$M$2:$M$224,MATCH(L121,'Tasks'!$A$2:$A$224,0)),"BAD ID"))</x:f>
        <x:v>0</x:v>
      </x:c>
      <x:c r="U121" s="14" t="n">
        <x:f>IF(M121="",0,IF(COUNTIFS('Tasks'!$A$2:$A$224,M121)=1,INDEX('Tasks'!$M$2:$M$224,MATCH(M121,'Tasks'!$A$2:$A$224,0)),"BAD ID"))</x:f>
        <x:v>0</x:v>
      </x:c>
      <x:c r="V121" s="14" t="n">
        <x:f>IF(N121="",0,IF(COUNTIFS('Tasks'!$A$2:$A$224,N121)=1,INDEX('Tasks'!$M$2:$M$224,MATCH(N121,'Tasks'!$A$2:$A$224,0)),"BAD ID"))</x:f>
        <x:v>0</x:v>
      </x:c>
      <x:c r="W121" s="14" t="n">
        <x:f>IF(O121="",0,IF(COUNTIFS('Tasks'!$A$2:$A$224,O121)=1,INDEX('Tasks'!$M$2:$M$224,MATCH(O121,'Tasks'!$A$2:$A$224,0)),"BAD ID"))</x:f>
        <x:v>0</x:v>
      </x:c>
    </x:row>
    <x:row r="122" ht="28" customHeight="1">
      <x:c r="A122" s="2" t="str">
        <x:v>G5-01</x:v>
      </x:c>
      <x:c r="B122" s="2" t="str">
        <x:f>IF(VLOOKUP(A122,'Tasks'!$A$2:$X$224,15,FALSE)="","",VLOOKUP(A122,'Tasks'!$A$2:$X$224,15,FALSE))</x:f>
        <x:v>DEMO-04,DOC-10,DOC-08,DEMO-02</x:v>
      </x:c>
      <x:c r="C122" s="13" t="n">
        <x:f>VLOOKUP(A122,'Tasks'!$A$2:$X$224,12,FALSE)</x:f>
        <x:v>46326</x:v>
      </x:c>
      <x:c r="D122" s="2" t="n">
        <x:f>IF(B122="",0,LEN(B122)-LEN(SUBSTITUTE(B122,",",""))+1)</x:f>
        <x:v>4</x:v>
      </x:c>
      <x:c r="E122" s="14" t="n">
        <x:f>MAX(P122:W122)</x:f>
        <x:v>46326</x:v>
      </x:c>
      <x:c r="F122" s="2" t="n">
        <x:f>COUNTIFS(P122:W122,"BAD ID")</x:f>
        <x:v>0</x:v>
      </x:c>
      <x:c r="G122" s="2" t="str">
        <x:f>IF(D122&gt;8,"TOO MANY",IF(F122&gt;0,"BAD ID",IF(C122&gt;=E122,"OK","LATE")))</x:f>
        <x:v>OK</x:v>
      </x:c>
      <x:c r="H122" s="2" t="str">
        <x:f>TRIM(MID(SUBSTITUTE($B122,",",REPT(" ",100)),1,100))</x:f>
        <x:v>DEMO-04</x:v>
      </x:c>
      <x:c r="I122" s="2" t="str">
        <x:f>TRIM(MID(SUBSTITUTE($B122,",",REPT(" ",100)),101,100))</x:f>
        <x:v>DOC-10</x:v>
      </x:c>
      <x:c r="J122" s="2" t="str">
        <x:f>TRIM(MID(SUBSTITUTE($B122,",",REPT(" ",100)),201,100))</x:f>
        <x:v>DOC-08</x:v>
      </x:c>
      <x:c r="K122" s="2" t="str">
        <x:f>TRIM(MID(SUBSTITUTE($B122,",",REPT(" ",100)),301,100))</x:f>
        <x:v>DEMO-02</x:v>
      </x:c>
      <x:c r="L122" s="2" t="str">
        <x:f>TRIM(MID(SUBSTITUTE($B122,",",REPT(" ",100)),401,100))</x:f>
      </x:c>
      <x:c r="M122" s="2" t="str">
        <x:f>TRIM(MID(SUBSTITUTE($B122,",",REPT(" ",100)),501,100))</x:f>
      </x:c>
      <x:c r="N122" s="2" t="str">
        <x:f>TRIM(MID(SUBSTITUTE($B122,",",REPT(" ",100)),601,100))</x:f>
      </x:c>
      <x:c r="O122" s="2" t="str">
        <x:f>TRIM(MID(SUBSTITUTE($B122,",",REPT(" ",100)),701,100))</x:f>
      </x:c>
      <x:c r="P122" s="14" t="n">
        <x:f>IF(H122="",0,IF(COUNTIFS('Tasks'!$A$2:$A$224,H122)=1,INDEX('Tasks'!$M$2:$M$224,MATCH(H122,'Tasks'!$A$2:$A$224,0)),"BAD ID"))</x:f>
        <x:v>46326</x:v>
      </x:c>
      <x:c r="Q122" s="14" t="n">
        <x:f>IF(I122="",0,IF(COUNTIFS('Tasks'!$A$2:$A$224,I122)=1,INDEX('Tasks'!$M$2:$M$224,MATCH(I122,'Tasks'!$A$2:$A$224,0)),"BAD ID"))</x:f>
        <x:v>46325</x:v>
      </x:c>
      <x:c r="R122" s="14" t="n">
        <x:f>IF(J122="",0,IF(COUNTIFS('Tasks'!$A$2:$A$224,J122)=1,INDEX('Tasks'!$M$2:$M$224,MATCH(J122,'Tasks'!$A$2:$A$224,0)),"BAD ID"))</x:f>
        <x:v>46324</x:v>
      </x:c>
      <x:c r="S122" s="14" t="n">
        <x:f>IF(K122="",0,IF(COUNTIFS('Tasks'!$A$2:$A$224,K122)=1,INDEX('Tasks'!$M$2:$M$224,MATCH(K122,'Tasks'!$A$2:$A$224,0)),"BAD ID"))</x:f>
        <x:v>46324</x:v>
      </x:c>
      <x:c r="T122" s="14" t="n">
        <x:f>IF(L122="",0,IF(COUNTIFS('Tasks'!$A$2:$A$224,L122)=1,INDEX('Tasks'!$M$2:$M$224,MATCH(L122,'Tasks'!$A$2:$A$224,0)),"BAD ID"))</x:f>
        <x:v>0</x:v>
      </x:c>
      <x:c r="U122" s="14" t="n">
        <x:f>IF(M122="",0,IF(COUNTIFS('Tasks'!$A$2:$A$224,M122)=1,INDEX('Tasks'!$M$2:$M$224,MATCH(M122,'Tasks'!$A$2:$A$224,0)),"BAD ID"))</x:f>
        <x:v>0</x:v>
      </x:c>
      <x:c r="V122" s="14" t="n">
        <x:f>IF(N122="",0,IF(COUNTIFS('Tasks'!$A$2:$A$224,N122)=1,INDEX('Tasks'!$M$2:$M$224,MATCH(N122,'Tasks'!$A$2:$A$224,0)),"BAD ID"))</x:f>
        <x:v>0</x:v>
      </x:c>
      <x:c r="W122" s="14" t="n">
        <x:f>IF(O122="",0,IF(COUNTIFS('Tasks'!$A$2:$A$224,O122)=1,INDEX('Tasks'!$M$2:$M$224,MATCH(O122,'Tasks'!$A$2:$A$224,0)),"BAD ID"))</x:f>
        <x:v>0</x:v>
      </x:c>
    </x:row>
    <x:row r="123" ht="28" customHeight="1">
      <x:c r="A123" s="2" t="str">
        <x:v>TEST-13</x:v>
      </x:c>
      <x:c r="B123" s="2" t="str">
        <x:f>IF(VLOOKUP(A123,'Tasks'!$A$2:$X$224,15,FALSE)="","",VLOOKUP(A123,'Tasks'!$A$2:$X$224,15,FALSE))</x:f>
        <x:v>BL-B-04</x:v>
      </x:c>
      <x:c r="C123" s="13" t="n">
        <x:f>VLOOKUP(A123,'Tasks'!$A$2:$X$224,12,FALSE)</x:f>
        <x:v>46312</x:v>
      </x:c>
      <x:c r="D123" s="2" t="n">
        <x:f>IF(B123="",0,LEN(B123)-LEN(SUBSTITUTE(B123,",",""))+1)</x:f>
        <x:v>1</x:v>
      </x:c>
      <x:c r="E123" s="14" t="n">
        <x:f>MAX(P123:W123)</x:f>
        <x:v>46311</x:v>
      </x:c>
      <x:c r="F123" s="2" t="n">
        <x:f>COUNTIFS(P123:W123,"BAD ID")</x:f>
        <x:v>0</x:v>
      </x:c>
      <x:c r="G123" s="2" t="str">
        <x:f>IF(D123&gt;8,"TOO MANY",IF(F123&gt;0,"BAD ID",IF(C123&gt;=E123,"OK","LATE")))</x:f>
        <x:v>OK</x:v>
      </x:c>
      <x:c r="H123" s="2" t="str">
        <x:f>TRIM(MID(SUBSTITUTE($B123,",",REPT(" ",100)),1,100))</x:f>
        <x:v>BL-B-04</x:v>
      </x:c>
      <x:c r="I123" s="2" t="str">
        <x:f>TRIM(MID(SUBSTITUTE($B123,",",REPT(" ",100)),101,100))</x:f>
      </x:c>
      <x:c r="J123" s="2" t="str">
        <x:f>TRIM(MID(SUBSTITUTE($B123,",",REPT(" ",100)),201,100))</x:f>
      </x:c>
      <x:c r="K123" s="2" t="str">
        <x:f>TRIM(MID(SUBSTITUTE($B123,",",REPT(" ",100)),301,100))</x:f>
      </x:c>
      <x:c r="L123" s="2" t="str">
        <x:f>TRIM(MID(SUBSTITUTE($B123,",",REPT(" ",100)),401,100))</x:f>
      </x:c>
      <x:c r="M123" s="2" t="str">
        <x:f>TRIM(MID(SUBSTITUTE($B123,",",REPT(" ",100)),501,100))</x:f>
      </x:c>
      <x:c r="N123" s="2" t="str">
        <x:f>TRIM(MID(SUBSTITUTE($B123,",",REPT(" ",100)),601,100))</x:f>
      </x:c>
      <x:c r="O123" s="2" t="str">
        <x:f>TRIM(MID(SUBSTITUTE($B123,",",REPT(" ",100)),701,100))</x:f>
      </x:c>
      <x:c r="P123" s="14" t="n">
        <x:f>IF(H123="",0,IF(COUNTIFS('Tasks'!$A$2:$A$224,H123)=1,INDEX('Tasks'!$M$2:$M$224,MATCH(H123,'Tasks'!$A$2:$A$224,0)),"BAD ID"))</x:f>
        <x:v>46311</x:v>
      </x:c>
      <x:c r="Q123" s="14" t="n">
        <x:f>IF(I123="",0,IF(COUNTIFS('Tasks'!$A$2:$A$224,I123)=1,INDEX('Tasks'!$M$2:$M$224,MATCH(I123,'Tasks'!$A$2:$A$224,0)),"BAD ID"))</x:f>
        <x:v>0</x:v>
      </x:c>
      <x:c r="R123" s="14" t="n">
        <x:f>IF(J123="",0,IF(COUNTIFS('Tasks'!$A$2:$A$224,J123)=1,INDEX('Tasks'!$M$2:$M$224,MATCH(J123,'Tasks'!$A$2:$A$224,0)),"BAD ID"))</x:f>
        <x:v>0</x:v>
      </x:c>
      <x:c r="S123" s="14" t="n">
        <x:f>IF(K123="",0,IF(COUNTIFS('Tasks'!$A$2:$A$224,K123)=1,INDEX('Tasks'!$M$2:$M$224,MATCH(K123,'Tasks'!$A$2:$A$224,0)),"BAD ID"))</x:f>
        <x:v>0</x:v>
      </x:c>
      <x:c r="T123" s="14" t="n">
        <x:f>IF(L123="",0,IF(COUNTIFS('Tasks'!$A$2:$A$224,L123)=1,INDEX('Tasks'!$M$2:$M$224,MATCH(L123,'Tasks'!$A$2:$A$224,0)),"BAD ID"))</x:f>
        <x:v>0</x:v>
      </x:c>
      <x:c r="U123" s="14" t="n">
        <x:f>IF(M123="",0,IF(COUNTIFS('Tasks'!$A$2:$A$224,M123)=1,INDEX('Tasks'!$M$2:$M$224,MATCH(M123,'Tasks'!$A$2:$A$224,0)),"BAD ID"))</x:f>
        <x:v>0</x:v>
      </x:c>
      <x:c r="V123" s="14" t="n">
        <x:f>IF(N123="",0,IF(COUNTIFS('Tasks'!$A$2:$A$224,N123)=1,INDEX('Tasks'!$M$2:$M$224,MATCH(N123,'Tasks'!$A$2:$A$224,0)),"BAD ID"))</x:f>
        <x:v>0</x:v>
      </x:c>
      <x:c r="W123" s="14" t="n">
        <x:f>IF(O123="",0,IF(COUNTIFS('Tasks'!$A$2:$A$224,O123)=1,INDEX('Tasks'!$M$2:$M$224,MATCH(O123,'Tasks'!$A$2:$A$224,0)),"BAD ID"))</x:f>
        <x:v>0</x:v>
      </x:c>
    </x:row>
    <x:row r="124" ht="28" customHeight="1">
      <x:c r="A124" s="2" t="str">
        <x:v>TEST-14</x:v>
      </x:c>
      <x:c r="B124" s="2" t="str">
        <x:f>IF(VLOOKUP(A124,'Tasks'!$A$2:$X$224,15,FALSE)="","",VLOOKUP(A124,'Tasks'!$A$2:$X$224,15,FALSE))</x:f>
        <x:v>BL-F-05</x:v>
      </x:c>
      <x:c r="C124" s="13" t="n">
        <x:f>VLOOKUP(A124,'Tasks'!$A$2:$X$224,12,FALSE)</x:f>
        <x:v>46313</x:v>
      </x:c>
      <x:c r="D124" s="2" t="n">
        <x:f>IF(B124="",0,LEN(B124)-LEN(SUBSTITUTE(B124,",",""))+1)</x:f>
        <x:v>1</x:v>
      </x:c>
      <x:c r="E124" s="14" t="n">
        <x:f>MAX(P124:W124)</x:f>
        <x:v>46312</x:v>
      </x:c>
      <x:c r="F124" s="2" t="n">
        <x:f>COUNTIFS(P124:W124,"BAD ID")</x:f>
        <x:v>0</x:v>
      </x:c>
      <x:c r="G124" s="2" t="str">
        <x:f>IF(D124&gt;8,"TOO MANY",IF(F124&gt;0,"BAD ID",IF(C124&gt;=E124,"OK","LATE")))</x:f>
        <x:v>OK</x:v>
      </x:c>
      <x:c r="H124" s="2" t="str">
        <x:f>TRIM(MID(SUBSTITUTE($B124,",",REPT(" ",100)),1,100))</x:f>
        <x:v>BL-F-05</x:v>
      </x:c>
      <x:c r="I124" s="2" t="str">
        <x:f>TRIM(MID(SUBSTITUTE($B124,",",REPT(" ",100)),101,100))</x:f>
      </x:c>
      <x:c r="J124" s="2" t="str">
        <x:f>TRIM(MID(SUBSTITUTE($B124,",",REPT(" ",100)),201,100))</x:f>
      </x:c>
      <x:c r="K124" s="2" t="str">
        <x:f>TRIM(MID(SUBSTITUTE($B124,",",REPT(" ",100)),301,100))</x:f>
      </x:c>
      <x:c r="L124" s="2" t="str">
        <x:f>TRIM(MID(SUBSTITUTE($B124,",",REPT(" ",100)),401,100))</x:f>
      </x:c>
      <x:c r="M124" s="2" t="str">
        <x:f>TRIM(MID(SUBSTITUTE($B124,",",REPT(" ",100)),501,100))</x:f>
      </x:c>
      <x:c r="N124" s="2" t="str">
        <x:f>TRIM(MID(SUBSTITUTE($B124,",",REPT(" ",100)),601,100))</x:f>
      </x:c>
      <x:c r="O124" s="2" t="str">
        <x:f>TRIM(MID(SUBSTITUTE($B124,",",REPT(" ",100)),701,100))</x:f>
      </x:c>
      <x:c r="P124" s="14" t="n">
        <x:f>IF(H124="",0,IF(COUNTIFS('Tasks'!$A$2:$A$224,H124)=1,INDEX('Tasks'!$M$2:$M$224,MATCH(H124,'Tasks'!$A$2:$A$224,0)),"BAD ID"))</x:f>
        <x:v>46312</x:v>
      </x:c>
      <x:c r="Q124" s="14" t="n">
        <x:f>IF(I124="",0,IF(COUNTIFS('Tasks'!$A$2:$A$224,I124)=1,INDEX('Tasks'!$M$2:$M$224,MATCH(I124,'Tasks'!$A$2:$A$224,0)),"BAD ID"))</x:f>
        <x:v>0</x:v>
      </x:c>
      <x:c r="R124" s="14" t="n">
        <x:f>IF(J124="",0,IF(COUNTIFS('Tasks'!$A$2:$A$224,J124)=1,INDEX('Tasks'!$M$2:$M$224,MATCH(J124,'Tasks'!$A$2:$A$224,0)),"BAD ID"))</x:f>
        <x:v>0</x:v>
      </x:c>
      <x:c r="S124" s="14" t="n">
        <x:f>IF(K124="",0,IF(COUNTIFS('Tasks'!$A$2:$A$224,K124)=1,INDEX('Tasks'!$M$2:$M$224,MATCH(K124,'Tasks'!$A$2:$A$224,0)),"BAD ID"))</x:f>
        <x:v>0</x:v>
      </x:c>
      <x:c r="T124" s="14" t="n">
        <x:f>IF(L124="",0,IF(COUNTIFS('Tasks'!$A$2:$A$224,L124)=1,INDEX('Tasks'!$M$2:$M$224,MATCH(L124,'Tasks'!$A$2:$A$224,0)),"BAD ID"))</x:f>
        <x:v>0</x:v>
      </x:c>
      <x:c r="U124" s="14" t="n">
        <x:f>IF(M124="",0,IF(COUNTIFS('Tasks'!$A$2:$A$224,M124)=1,INDEX('Tasks'!$M$2:$M$224,MATCH(M124,'Tasks'!$A$2:$A$224,0)),"BAD ID"))</x:f>
        <x:v>0</x:v>
      </x:c>
      <x:c r="V124" s="14" t="n">
        <x:f>IF(N124="",0,IF(COUNTIFS('Tasks'!$A$2:$A$224,N124)=1,INDEX('Tasks'!$M$2:$M$224,MATCH(N124,'Tasks'!$A$2:$A$224,0)),"BAD ID"))</x:f>
        <x:v>0</x:v>
      </x:c>
      <x:c r="W124" s="14" t="n">
        <x:f>IF(O124="",0,IF(COUNTIFS('Tasks'!$A$2:$A$224,O124)=1,INDEX('Tasks'!$M$2:$M$224,MATCH(O124,'Tasks'!$A$2:$A$224,0)),"BAD ID"))</x:f>
        <x:v>0</x:v>
      </x:c>
    </x:row>
    <x:row r="125" ht="28" customHeight="1">
      <x:c r="A125" s="2" t="str">
        <x:v>TEST-15</x:v>
      </x:c>
      <x:c r="B125" s="2" t="str">
        <x:f>IF(VLOOKUP(A125,'Tasks'!$A$2:$X$224,15,FALSE)="","",VLOOKUP(A125,'Tasks'!$A$2:$X$224,15,FALSE))</x:f>
        <x:v>TEST-04,TEST-05</x:v>
      </x:c>
      <x:c r="C125" s="13" t="n">
        <x:f>VLOOKUP(A125,'Tasks'!$A$2:$X$224,12,FALSE)</x:f>
        <x:v>46319</x:v>
      </x:c>
      <x:c r="D125" s="2" t="n">
        <x:f>IF(B125="",0,LEN(B125)-LEN(SUBSTITUTE(B125,",",""))+1)</x:f>
        <x:v>2</x:v>
      </x:c>
      <x:c r="E125" s="14" t="n">
        <x:f>MAX(P125:W125)</x:f>
        <x:v>46318</x:v>
      </x:c>
      <x:c r="F125" s="2" t="n">
        <x:f>COUNTIFS(P125:W125,"BAD ID")</x:f>
        <x:v>0</x:v>
      </x:c>
      <x:c r="G125" s="2" t="str">
        <x:f>IF(D125&gt;8,"TOO MANY",IF(F125&gt;0,"BAD ID",IF(C125&gt;=E125,"OK","LATE")))</x:f>
        <x:v>OK</x:v>
      </x:c>
      <x:c r="H125" s="2" t="str">
        <x:f>TRIM(MID(SUBSTITUTE($B125,",",REPT(" ",100)),1,100))</x:f>
        <x:v>TEST-04</x:v>
      </x:c>
      <x:c r="I125" s="2" t="str">
        <x:f>TRIM(MID(SUBSTITUTE($B125,",",REPT(" ",100)),101,100))</x:f>
        <x:v>TEST-05</x:v>
      </x:c>
      <x:c r="J125" s="2" t="str">
        <x:f>TRIM(MID(SUBSTITUTE($B125,",",REPT(" ",100)),201,100))</x:f>
      </x:c>
      <x:c r="K125" s="2" t="str">
        <x:f>TRIM(MID(SUBSTITUTE($B125,",",REPT(" ",100)),301,100))</x:f>
      </x:c>
      <x:c r="L125" s="2" t="str">
        <x:f>TRIM(MID(SUBSTITUTE($B125,",",REPT(" ",100)),401,100))</x:f>
      </x:c>
      <x:c r="M125" s="2" t="str">
        <x:f>TRIM(MID(SUBSTITUTE($B125,",",REPT(" ",100)),501,100))</x:f>
      </x:c>
      <x:c r="N125" s="2" t="str">
        <x:f>TRIM(MID(SUBSTITUTE($B125,",",REPT(" ",100)),601,100))</x:f>
      </x:c>
      <x:c r="O125" s="2" t="str">
        <x:f>TRIM(MID(SUBSTITUTE($B125,",",REPT(" ",100)),701,100))</x:f>
      </x:c>
      <x:c r="P125" s="14" t="n">
        <x:f>IF(H125="",0,IF(COUNTIFS('Tasks'!$A$2:$A$224,H125)=1,INDEX('Tasks'!$M$2:$M$224,MATCH(H125,'Tasks'!$A$2:$A$224,0)),"BAD ID"))</x:f>
        <x:v>46318</x:v>
      </x:c>
      <x:c r="Q125" s="14" t="n">
        <x:f>IF(I125="",0,IF(COUNTIFS('Tasks'!$A$2:$A$224,I125)=1,INDEX('Tasks'!$M$2:$M$224,MATCH(I125,'Tasks'!$A$2:$A$224,0)),"BAD ID"))</x:f>
        <x:v>46318</x:v>
      </x:c>
      <x:c r="R125" s="14" t="n">
        <x:f>IF(J125="",0,IF(COUNTIFS('Tasks'!$A$2:$A$224,J125)=1,INDEX('Tasks'!$M$2:$M$224,MATCH(J125,'Tasks'!$A$2:$A$224,0)),"BAD ID"))</x:f>
        <x:v>0</x:v>
      </x:c>
      <x:c r="S125" s="14" t="n">
        <x:f>IF(K125="",0,IF(COUNTIFS('Tasks'!$A$2:$A$224,K125)=1,INDEX('Tasks'!$M$2:$M$224,MATCH(K125,'Tasks'!$A$2:$A$224,0)),"BAD ID"))</x:f>
        <x:v>0</x:v>
      </x:c>
      <x:c r="T125" s="14" t="n">
        <x:f>IF(L125="",0,IF(COUNTIFS('Tasks'!$A$2:$A$224,L125)=1,INDEX('Tasks'!$M$2:$M$224,MATCH(L125,'Tasks'!$A$2:$A$224,0)),"BAD ID"))</x:f>
        <x:v>0</x:v>
      </x:c>
      <x:c r="U125" s="14" t="n">
        <x:f>IF(M125="",0,IF(COUNTIFS('Tasks'!$A$2:$A$224,M125)=1,INDEX('Tasks'!$M$2:$M$224,MATCH(M125,'Tasks'!$A$2:$A$224,0)),"BAD ID"))</x:f>
        <x:v>0</x:v>
      </x:c>
      <x:c r="V125" s="14" t="n">
        <x:f>IF(N125="",0,IF(COUNTIFS('Tasks'!$A$2:$A$224,N125)=1,INDEX('Tasks'!$M$2:$M$224,MATCH(N125,'Tasks'!$A$2:$A$224,0)),"BAD ID"))</x:f>
        <x:v>0</x:v>
      </x:c>
      <x:c r="W125" s="14" t="n">
        <x:f>IF(O125="",0,IF(COUNTIFS('Tasks'!$A$2:$A$224,O125)=1,INDEX('Tasks'!$M$2:$M$224,MATCH(O125,'Tasks'!$A$2:$A$224,0)),"BAD ID"))</x:f>
        <x:v>0</x:v>
      </x:c>
    </x:row>
    <x:row r="126" ht="28" customHeight="1">
      <x:c r="A126" s="2" t="str">
        <x:v>TEST-16</x:v>
      </x:c>
      <x:c r="B126" s="2" t="str">
        <x:f>IF(VLOOKUP(A126,'Tasks'!$A$2:$X$224,15,FALSE)="","",VLOOKUP(A126,'Tasks'!$A$2:$X$224,15,FALSE))</x:f>
        <x:v>TEST-06,BL-A-06</x:v>
      </x:c>
      <x:c r="C126" s="13" t="n">
        <x:f>VLOOKUP(A126,'Tasks'!$A$2:$X$224,12,FALSE)</x:f>
        <x:v>46319</x:v>
      </x:c>
      <x:c r="D126" s="2" t="n">
        <x:f>IF(B126="",0,LEN(B126)-LEN(SUBSTITUTE(B126,",",""))+1)</x:f>
        <x:v>2</x:v>
      </x:c>
      <x:c r="E126" s="14" t="n">
        <x:f>MAX(P126:W126)</x:f>
        <x:v>46318</x:v>
      </x:c>
      <x:c r="F126" s="2" t="n">
        <x:f>COUNTIFS(P126:W126,"BAD ID")</x:f>
        <x:v>0</x:v>
      </x:c>
      <x:c r="G126" s="2" t="str">
        <x:f>IF(D126&gt;8,"TOO MANY",IF(F126&gt;0,"BAD ID",IF(C126&gt;=E126,"OK","LATE")))</x:f>
        <x:v>OK</x:v>
      </x:c>
      <x:c r="H126" s="2" t="str">
        <x:f>TRIM(MID(SUBSTITUTE($B126,",",REPT(" ",100)),1,100))</x:f>
        <x:v>TEST-06</x:v>
      </x:c>
      <x:c r="I126" s="2" t="str">
        <x:f>TRIM(MID(SUBSTITUTE($B126,",",REPT(" ",100)),101,100))</x:f>
        <x:v>BL-A-06</x:v>
      </x:c>
      <x:c r="J126" s="2" t="str">
        <x:f>TRIM(MID(SUBSTITUTE($B126,",",REPT(" ",100)),201,100))</x:f>
      </x:c>
      <x:c r="K126" s="2" t="str">
        <x:f>TRIM(MID(SUBSTITUTE($B126,",",REPT(" ",100)),301,100))</x:f>
      </x:c>
      <x:c r="L126" s="2" t="str">
        <x:f>TRIM(MID(SUBSTITUTE($B126,",",REPT(" ",100)),401,100))</x:f>
      </x:c>
      <x:c r="M126" s="2" t="str">
        <x:f>TRIM(MID(SUBSTITUTE($B126,",",REPT(" ",100)),501,100))</x:f>
      </x:c>
      <x:c r="N126" s="2" t="str">
        <x:f>TRIM(MID(SUBSTITUTE($B126,",",REPT(" ",100)),601,100))</x:f>
      </x:c>
      <x:c r="O126" s="2" t="str">
        <x:f>TRIM(MID(SUBSTITUTE($B126,",",REPT(" ",100)),701,100))</x:f>
      </x:c>
      <x:c r="P126" s="14" t="n">
        <x:f>IF(H126="",0,IF(COUNTIFS('Tasks'!$A$2:$A$224,H126)=1,INDEX('Tasks'!$M$2:$M$224,MATCH(H126,'Tasks'!$A$2:$A$224,0)),"BAD ID"))</x:f>
        <x:v>46318</x:v>
      </x:c>
      <x:c r="Q126" s="14" t="n">
        <x:f>IF(I126="",0,IF(COUNTIFS('Tasks'!$A$2:$A$224,I126)=1,INDEX('Tasks'!$M$2:$M$224,MATCH(I126,'Tasks'!$A$2:$A$224,0)),"BAD ID"))</x:f>
        <x:v>46315</x:v>
      </x:c>
      <x:c r="R126" s="14" t="n">
        <x:f>IF(J126="",0,IF(COUNTIFS('Tasks'!$A$2:$A$224,J126)=1,INDEX('Tasks'!$M$2:$M$224,MATCH(J126,'Tasks'!$A$2:$A$224,0)),"BAD ID"))</x:f>
        <x:v>0</x:v>
      </x:c>
      <x:c r="S126" s="14" t="n">
        <x:f>IF(K126="",0,IF(COUNTIFS('Tasks'!$A$2:$A$224,K126)=1,INDEX('Tasks'!$M$2:$M$224,MATCH(K126,'Tasks'!$A$2:$A$224,0)),"BAD ID"))</x:f>
        <x:v>0</x:v>
      </x:c>
      <x:c r="T126" s="14" t="n">
        <x:f>IF(L126="",0,IF(COUNTIFS('Tasks'!$A$2:$A$224,L126)=1,INDEX('Tasks'!$M$2:$M$224,MATCH(L126,'Tasks'!$A$2:$A$224,0)),"BAD ID"))</x:f>
        <x:v>0</x:v>
      </x:c>
      <x:c r="U126" s="14" t="n">
        <x:f>IF(M126="",0,IF(COUNTIFS('Tasks'!$A$2:$A$224,M126)=1,INDEX('Tasks'!$M$2:$M$224,MATCH(M126,'Tasks'!$A$2:$A$224,0)),"BAD ID"))</x:f>
        <x:v>0</x:v>
      </x:c>
      <x:c r="V126" s="14" t="n">
        <x:f>IF(N126="",0,IF(COUNTIFS('Tasks'!$A$2:$A$224,N126)=1,INDEX('Tasks'!$M$2:$M$224,MATCH(N126,'Tasks'!$A$2:$A$224,0)),"BAD ID"))</x:f>
        <x:v>0</x:v>
      </x:c>
      <x:c r="W126" s="14" t="n">
        <x:f>IF(O126="",0,IF(COUNTIFS('Tasks'!$A$2:$A$224,O126)=1,INDEX('Tasks'!$M$2:$M$224,MATCH(O126,'Tasks'!$A$2:$A$224,0)),"BAD ID"))</x:f>
        <x:v>0</x:v>
      </x:c>
    </x:row>
    <x:row r="127" ht="28" customHeight="1">
      <x:c r="A127" s="2" t="str">
        <x:v>TEST-17</x:v>
      </x:c>
      <x:c r="B127" s="2" t="str">
        <x:f>IF(VLOOKUP(A127,'Tasks'!$A$2:$X$224,15,FALSE)="","",VLOOKUP(A127,'Tasks'!$A$2:$X$224,15,FALSE))</x:f>
        <x:v>TEST-05,RV-08</x:v>
      </x:c>
      <x:c r="C127" s="13" t="n">
        <x:f>VLOOKUP(A127,'Tasks'!$A$2:$X$224,12,FALSE)</x:f>
        <x:v>46320</x:v>
      </x:c>
      <x:c r="D127" s="2" t="n">
        <x:f>IF(B127="",0,LEN(B127)-LEN(SUBSTITUTE(B127,",",""))+1)</x:f>
        <x:v>2</x:v>
      </x:c>
      <x:c r="E127" s="14" t="n">
        <x:f>MAX(P127:W127)</x:f>
        <x:v>46319</x:v>
      </x:c>
      <x:c r="F127" s="2" t="n">
        <x:f>COUNTIFS(P127:W127,"BAD ID")</x:f>
        <x:v>0</x:v>
      </x:c>
      <x:c r="G127" s="2" t="str">
        <x:f>IF(D127&gt;8,"TOO MANY",IF(F127&gt;0,"BAD ID",IF(C127&gt;=E127,"OK","LATE")))</x:f>
        <x:v>OK</x:v>
      </x:c>
      <x:c r="H127" s="2" t="str">
        <x:f>TRIM(MID(SUBSTITUTE($B127,",",REPT(" ",100)),1,100))</x:f>
        <x:v>TEST-05</x:v>
      </x:c>
      <x:c r="I127" s="2" t="str">
        <x:f>TRIM(MID(SUBSTITUTE($B127,",",REPT(" ",100)),101,100))</x:f>
        <x:v>RV-08</x:v>
      </x:c>
      <x:c r="J127" s="2" t="str">
        <x:f>TRIM(MID(SUBSTITUTE($B127,",",REPT(" ",100)),201,100))</x:f>
      </x:c>
      <x:c r="K127" s="2" t="str">
        <x:f>TRIM(MID(SUBSTITUTE($B127,",",REPT(" ",100)),301,100))</x:f>
      </x:c>
      <x:c r="L127" s="2" t="str">
        <x:f>TRIM(MID(SUBSTITUTE($B127,",",REPT(" ",100)),401,100))</x:f>
      </x:c>
      <x:c r="M127" s="2" t="str">
        <x:f>TRIM(MID(SUBSTITUTE($B127,",",REPT(" ",100)),501,100))</x:f>
      </x:c>
      <x:c r="N127" s="2" t="str">
        <x:f>TRIM(MID(SUBSTITUTE($B127,",",REPT(" ",100)),601,100))</x:f>
      </x:c>
      <x:c r="O127" s="2" t="str">
        <x:f>TRIM(MID(SUBSTITUTE($B127,",",REPT(" ",100)),701,100))</x:f>
      </x:c>
      <x:c r="P127" s="14" t="n">
        <x:f>IF(H127="",0,IF(COUNTIFS('Tasks'!$A$2:$A$224,H127)=1,INDEX('Tasks'!$M$2:$M$224,MATCH(H127,'Tasks'!$A$2:$A$224,0)),"BAD ID"))</x:f>
        <x:v>46318</x:v>
      </x:c>
      <x:c r="Q127" s="14" t="n">
        <x:f>IF(I127="",0,IF(COUNTIFS('Tasks'!$A$2:$A$224,I127)=1,INDEX('Tasks'!$M$2:$M$224,MATCH(I127,'Tasks'!$A$2:$A$224,0)),"BAD ID"))</x:f>
        <x:v>46319</x:v>
      </x:c>
      <x:c r="R127" s="14" t="n">
        <x:f>IF(J127="",0,IF(COUNTIFS('Tasks'!$A$2:$A$224,J127)=1,INDEX('Tasks'!$M$2:$M$224,MATCH(J127,'Tasks'!$A$2:$A$224,0)),"BAD ID"))</x:f>
        <x:v>0</x:v>
      </x:c>
      <x:c r="S127" s="14" t="n">
        <x:f>IF(K127="",0,IF(COUNTIFS('Tasks'!$A$2:$A$224,K127)=1,INDEX('Tasks'!$M$2:$M$224,MATCH(K127,'Tasks'!$A$2:$A$224,0)),"BAD ID"))</x:f>
        <x:v>0</x:v>
      </x:c>
      <x:c r="T127" s="14" t="n">
        <x:f>IF(L127="",0,IF(COUNTIFS('Tasks'!$A$2:$A$224,L127)=1,INDEX('Tasks'!$M$2:$M$224,MATCH(L127,'Tasks'!$A$2:$A$224,0)),"BAD ID"))</x:f>
        <x:v>0</x:v>
      </x:c>
      <x:c r="U127" s="14" t="n">
        <x:f>IF(M127="",0,IF(COUNTIFS('Tasks'!$A$2:$A$224,M127)=1,INDEX('Tasks'!$M$2:$M$224,MATCH(M127,'Tasks'!$A$2:$A$224,0)),"BAD ID"))</x:f>
        <x:v>0</x:v>
      </x:c>
      <x:c r="V127" s="14" t="n">
        <x:f>IF(N127="",0,IF(COUNTIFS('Tasks'!$A$2:$A$224,N127)=1,INDEX('Tasks'!$M$2:$M$224,MATCH(N127,'Tasks'!$A$2:$A$224,0)),"BAD ID"))</x:f>
        <x:v>0</x:v>
      </x:c>
      <x:c r="W127" s="14" t="n">
        <x:f>IF(O127="",0,IF(COUNTIFS('Tasks'!$A$2:$A$224,O127)=1,INDEX('Tasks'!$M$2:$M$224,MATCH(O127,'Tasks'!$A$2:$A$224,0)),"BAD ID"))</x:f>
        <x:v>0</x:v>
      </x:c>
    </x:row>
    <x:row r="128" ht="28" customHeight="1">
      <x:c r="A128" s="2" t="str">
        <x:v>DOC-11</x:v>
      </x:c>
      <x:c r="B128" s="2" t="str">
        <x:f>IF(VLOOKUP(A128,'Tasks'!$A$2:$X$224,15,FALSE)="","",VLOOKUP(A128,'Tasks'!$A$2:$X$224,15,FALSE))</x:f>
        <x:v>TEST-16,RV-07</x:v>
      </x:c>
      <x:c r="C128" s="13" t="n">
        <x:f>VLOOKUP(A128,'Tasks'!$A$2:$X$224,12,FALSE)</x:f>
        <x:v>46320</x:v>
      </x:c>
      <x:c r="D128" s="2" t="n">
        <x:f>IF(B128="",0,LEN(B128)-LEN(SUBSTITUTE(B128,",",""))+1)</x:f>
        <x:v>2</x:v>
      </x:c>
      <x:c r="E128" s="14" t="n">
        <x:f>MAX(P128:W128)</x:f>
        <x:v>46319</x:v>
      </x:c>
      <x:c r="F128" s="2" t="n">
        <x:f>COUNTIFS(P128:W128,"BAD ID")</x:f>
        <x:v>0</x:v>
      </x:c>
      <x:c r="G128" s="2" t="str">
        <x:f>IF(D128&gt;8,"TOO MANY",IF(F128&gt;0,"BAD ID",IF(C128&gt;=E128,"OK","LATE")))</x:f>
        <x:v>OK</x:v>
      </x:c>
      <x:c r="H128" s="2" t="str">
        <x:f>TRIM(MID(SUBSTITUTE($B128,",",REPT(" ",100)),1,100))</x:f>
        <x:v>TEST-16</x:v>
      </x:c>
      <x:c r="I128" s="2" t="str">
        <x:f>TRIM(MID(SUBSTITUTE($B128,",",REPT(" ",100)),101,100))</x:f>
        <x:v>RV-07</x:v>
      </x:c>
      <x:c r="J128" s="2" t="str">
        <x:f>TRIM(MID(SUBSTITUTE($B128,",",REPT(" ",100)),201,100))</x:f>
      </x:c>
      <x:c r="K128" s="2" t="str">
        <x:f>TRIM(MID(SUBSTITUTE($B128,",",REPT(" ",100)),301,100))</x:f>
      </x:c>
      <x:c r="L128" s="2" t="str">
        <x:f>TRIM(MID(SUBSTITUTE($B128,",",REPT(" ",100)),401,100))</x:f>
      </x:c>
      <x:c r="M128" s="2" t="str">
        <x:f>TRIM(MID(SUBSTITUTE($B128,",",REPT(" ",100)),501,100))</x:f>
      </x:c>
      <x:c r="N128" s="2" t="str">
        <x:f>TRIM(MID(SUBSTITUTE($B128,",",REPT(" ",100)),601,100))</x:f>
      </x:c>
      <x:c r="O128" s="2" t="str">
        <x:f>TRIM(MID(SUBSTITUTE($B128,",",REPT(" ",100)),701,100))</x:f>
      </x:c>
      <x:c r="P128" s="14" t="n">
        <x:f>IF(H128="",0,IF(COUNTIFS('Tasks'!$A$2:$A$224,H128)=1,INDEX('Tasks'!$M$2:$M$224,MATCH(H128,'Tasks'!$A$2:$A$224,0)),"BAD ID"))</x:f>
        <x:v>46319</x:v>
      </x:c>
      <x:c r="Q128" s="14" t="n">
        <x:f>IF(I128="",0,IF(COUNTIFS('Tasks'!$A$2:$A$224,I128)=1,INDEX('Tasks'!$M$2:$M$224,MATCH(I128,'Tasks'!$A$2:$A$224,0)),"BAD ID"))</x:f>
        <x:v>46319</x:v>
      </x:c>
      <x:c r="R128" s="14" t="n">
        <x:f>IF(J128="",0,IF(COUNTIFS('Tasks'!$A$2:$A$224,J128)=1,INDEX('Tasks'!$M$2:$M$224,MATCH(J128,'Tasks'!$A$2:$A$224,0)),"BAD ID"))</x:f>
        <x:v>0</x:v>
      </x:c>
      <x:c r="S128" s="14" t="n">
        <x:f>IF(K128="",0,IF(COUNTIFS('Tasks'!$A$2:$A$224,K128)=1,INDEX('Tasks'!$M$2:$M$224,MATCH(K128,'Tasks'!$A$2:$A$224,0)),"BAD ID"))</x:f>
        <x:v>0</x:v>
      </x:c>
      <x:c r="T128" s="14" t="n">
        <x:f>IF(L128="",0,IF(COUNTIFS('Tasks'!$A$2:$A$224,L128)=1,INDEX('Tasks'!$M$2:$M$224,MATCH(L128,'Tasks'!$A$2:$A$224,0)),"BAD ID"))</x:f>
        <x:v>0</x:v>
      </x:c>
      <x:c r="U128" s="14" t="n">
        <x:f>IF(M128="",0,IF(COUNTIFS('Tasks'!$A$2:$A$224,M128)=1,INDEX('Tasks'!$M$2:$M$224,MATCH(M128,'Tasks'!$A$2:$A$224,0)),"BAD ID"))</x:f>
        <x:v>0</x:v>
      </x:c>
      <x:c r="V128" s="14" t="n">
        <x:f>IF(N128="",0,IF(COUNTIFS('Tasks'!$A$2:$A$224,N128)=1,INDEX('Tasks'!$M$2:$M$224,MATCH(N128,'Tasks'!$A$2:$A$224,0)),"BAD ID"))</x:f>
        <x:v>0</x:v>
      </x:c>
      <x:c r="W128" s="14" t="n">
        <x:f>IF(O128="",0,IF(COUNTIFS('Tasks'!$A$2:$A$224,O128)=1,INDEX('Tasks'!$M$2:$M$224,MATCH(O128,'Tasks'!$A$2:$A$224,0)),"BAD ID"))</x:f>
        <x:v>0</x:v>
      </x:c>
    </x:row>
    <x:row r="129" ht="28" customHeight="1">
      <x:c r="A129" s="2" t="str">
        <x:v>TEST-18</x:v>
      </x:c>
      <x:c r="B129" s="2" t="str">
        <x:f>IF(VLOOKUP(A129,'Tasks'!$A$2:$X$224,15,FALSE)="","",VLOOKUP(A129,'Tasks'!$A$2:$X$224,15,FALSE))</x:f>
        <x:v>G3-01,E4-10</x:v>
      </x:c>
      <x:c r="C129" s="13" t="n">
        <x:f>VLOOKUP(A129,'Tasks'!$A$2:$X$224,12,FALSE)</x:f>
        <x:v>46323</x:v>
      </x:c>
      <x:c r="D129" s="2" t="n">
        <x:f>IF(B129="",0,LEN(B129)-LEN(SUBSTITUTE(B129,",",""))+1)</x:f>
        <x:v>2</x:v>
      </x:c>
      <x:c r="E129" s="14" t="n">
        <x:f>MAX(P129:W129)</x:f>
        <x:v>46321</x:v>
      </x:c>
      <x:c r="F129" s="2" t="n">
        <x:f>COUNTIFS(P129:W129,"BAD ID")</x:f>
        <x:v>0</x:v>
      </x:c>
      <x:c r="G129" s="2" t="str">
        <x:f>IF(D129&gt;8,"TOO MANY",IF(F129&gt;0,"BAD ID",IF(C129&gt;=E129,"OK","LATE")))</x:f>
        <x:v>OK</x:v>
      </x:c>
      <x:c r="H129" s="2" t="str">
        <x:f>TRIM(MID(SUBSTITUTE($B129,",",REPT(" ",100)),1,100))</x:f>
        <x:v>G3-01</x:v>
      </x:c>
      <x:c r="I129" s="2" t="str">
        <x:f>TRIM(MID(SUBSTITUTE($B129,",",REPT(" ",100)),101,100))</x:f>
        <x:v>E4-10</x:v>
      </x:c>
      <x:c r="J129" s="2" t="str">
        <x:f>TRIM(MID(SUBSTITUTE($B129,",",REPT(" ",100)),201,100))</x:f>
      </x:c>
      <x:c r="K129" s="2" t="str">
        <x:f>TRIM(MID(SUBSTITUTE($B129,",",REPT(" ",100)),301,100))</x:f>
      </x:c>
      <x:c r="L129" s="2" t="str">
        <x:f>TRIM(MID(SUBSTITUTE($B129,",",REPT(" ",100)),401,100))</x:f>
      </x:c>
      <x:c r="M129" s="2" t="str">
        <x:f>TRIM(MID(SUBSTITUTE($B129,",",REPT(" ",100)),501,100))</x:f>
      </x:c>
      <x:c r="N129" s="2" t="str">
        <x:f>TRIM(MID(SUBSTITUTE($B129,",",REPT(" ",100)),601,100))</x:f>
      </x:c>
      <x:c r="O129" s="2" t="str">
        <x:f>TRIM(MID(SUBSTITUTE($B129,",",REPT(" ",100)),701,100))</x:f>
      </x:c>
      <x:c r="P129" s="14" t="n">
        <x:f>IF(H129="",0,IF(COUNTIFS('Tasks'!$A$2:$A$224,H129)=1,INDEX('Tasks'!$M$2:$M$224,MATCH(H129,'Tasks'!$A$2:$A$224,0)),"BAD ID"))</x:f>
        <x:v>46320</x:v>
      </x:c>
      <x:c r="Q129" s="14" t="n">
        <x:f>IF(I129="",0,IF(COUNTIFS('Tasks'!$A$2:$A$224,I129)=1,INDEX('Tasks'!$M$2:$M$224,MATCH(I129,'Tasks'!$A$2:$A$224,0)),"BAD ID"))</x:f>
        <x:v>46321</x:v>
      </x:c>
      <x:c r="R129" s="14" t="n">
        <x:f>IF(J129="",0,IF(COUNTIFS('Tasks'!$A$2:$A$224,J129)=1,INDEX('Tasks'!$M$2:$M$224,MATCH(J129,'Tasks'!$A$2:$A$224,0)),"BAD ID"))</x:f>
        <x:v>0</x:v>
      </x:c>
      <x:c r="S129" s="14" t="n">
        <x:f>IF(K129="",0,IF(COUNTIFS('Tasks'!$A$2:$A$224,K129)=1,INDEX('Tasks'!$M$2:$M$224,MATCH(K129,'Tasks'!$A$2:$A$224,0)),"BAD ID"))</x:f>
        <x:v>0</x:v>
      </x:c>
      <x:c r="T129" s="14" t="n">
        <x:f>IF(L129="",0,IF(COUNTIFS('Tasks'!$A$2:$A$224,L129)=1,INDEX('Tasks'!$M$2:$M$224,MATCH(L129,'Tasks'!$A$2:$A$224,0)),"BAD ID"))</x:f>
        <x:v>0</x:v>
      </x:c>
      <x:c r="U129" s="14" t="n">
        <x:f>IF(M129="",0,IF(COUNTIFS('Tasks'!$A$2:$A$224,M129)=1,INDEX('Tasks'!$M$2:$M$224,MATCH(M129,'Tasks'!$A$2:$A$224,0)),"BAD ID"))</x:f>
        <x:v>0</x:v>
      </x:c>
      <x:c r="V129" s="14" t="n">
        <x:f>IF(N129="",0,IF(COUNTIFS('Tasks'!$A$2:$A$224,N129)=1,INDEX('Tasks'!$M$2:$M$224,MATCH(N129,'Tasks'!$A$2:$A$224,0)),"BAD ID"))</x:f>
        <x:v>0</x:v>
      </x:c>
      <x:c r="W129" s="14" t="n">
        <x:f>IF(O129="",0,IF(COUNTIFS('Tasks'!$A$2:$A$224,O129)=1,INDEX('Tasks'!$M$2:$M$224,MATCH(O129,'Tasks'!$A$2:$A$224,0)),"BAD ID"))</x:f>
        <x:v>0</x:v>
      </x:c>
    </x:row>
    <x:row r="130" ht="28" customHeight="1">
      <x:c r="A130" s="2" t="str">
        <x:v>DOC-12</x:v>
      </x:c>
      <x:c r="B130" s="2" t="str">
        <x:f>IF(VLOOKUP(A130,'Tasks'!$A$2:$X$224,15,FALSE)="","",VLOOKUP(A130,'Tasks'!$A$2:$X$224,15,FALSE))</x:f>
        <x:v>DOC-06,TEST-18</x:v>
      </x:c>
      <x:c r="C130" s="13" t="n">
        <x:f>VLOOKUP(A130,'Tasks'!$A$2:$X$224,12,FALSE)</x:f>
        <x:v>46324</x:v>
      </x:c>
      <x:c r="D130" s="2" t="n">
        <x:f>IF(B130="",0,LEN(B130)-LEN(SUBSTITUTE(B130,",",""))+1)</x:f>
        <x:v>2</x:v>
      </x:c>
      <x:c r="E130" s="14" t="n">
        <x:f>MAX(P130:W130)</x:f>
        <x:v>46323</x:v>
      </x:c>
      <x:c r="F130" s="2" t="n">
        <x:f>COUNTIFS(P130:W130,"BAD ID")</x:f>
        <x:v>0</x:v>
      </x:c>
      <x:c r="G130" s="2" t="str">
        <x:f>IF(D130&gt;8,"TOO MANY",IF(F130&gt;0,"BAD ID",IF(C130&gt;=E130,"OK","LATE")))</x:f>
        <x:v>OK</x:v>
      </x:c>
      <x:c r="H130" s="2" t="str">
        <x:f>TRIM(MID(SUBSTITUTE($B130,",",REPT(" ",100)),1,100))</x:f>
        <x:v>DOC-06</x:v>
      </x:c>
      <x:c r="I130" s="2" t="str">
        <x:f>TRIM(MID(SUBSTITUTE($B130,",",REPT(" ",100)),101,100))</x:f>
        <x:v>TEST-18</x:v>
      </x:c>
      <x:c r="J130" s="2" t="str">
        <x:f>TRIM(MID(SUBSTITUTE($B130,",",REPT(" ",100)),201,100))</x:f>
      </x:c>
      <x:c r="K130" s="2" t="str">
        <x:f>TRIM(MID(SUBSTITUTE($B130,",",REPT(" ",100)),301,100))</x:f>
      </x:c>
      <x:c r="L130" s="2" t="str">
        <x:f>TRIM(MID(SUBSTITUTE($B130,",",REPT(" ",100)),401,100))</x:f>
      </x:c>
      <x:c r="M130" s="2" t="str">
        <x:f>TRIM(MID(SUBSTITUTE($B130,",",REPT(" ",100)),501,100))</x:f>
      </x:c>
      <x:c r="N130" s="2" t="str">
        <x:f>TRIM(MID(SUBSTITUTE($B130,",",REPT(" ",100)),601,100))</x:f>
      </x:c>
      <x:c r="O130" s="2" t="str">
        <x:f>TRIM(MID(SUBSTITUTE($B130,",",REPT(" ",100)),701,100))</x:f>
      </x:c>
      <x:c r="P130" s="14" t="n">
        <x:f>IF(H130="",0,IF(COUNTIFS('Tasks'!$A$2:$A$224,H130)=1,INDEX('Tasks'!$M$2:$M$224,MATCH(H130,'Tasks'!$A$2:$A$224,0)),"BAD ID"))</x:f>
        <x:v>46323</x:v>
      </x:c>
      <x:c r="Q130" s="14" t="n">
        <x:f>IF(I130="",0,IF(COUNTIFS('Tasks'!$A$2:$A$224,I130)=1,INDEX('Tasks'!$M$2:$M$224,MATCH(I130,'Tasks'!$A$2:$A$224,0)),"BAD ID"))</x:f>
        <x:v>46323</x:v>
      </x:c>
      <x:c r="R130" s="14" t="n">
        <x:f>IF(J130="",0,IF(COUNTIFS('Tasks'!$A$2:$A$224,J130)=1,INDEX('Tasks'!$M$2:$M$224,MATCH(J130,'Tasks'!$A$2:$A$224,0)),"BAD ID"))</x:f>
        <x:v>0</x:v>
      </x:c>
      <x:c r="S130" s="14" t="n">
        <x:f>IF(K130="",0,IF(COUNTIFS('Tasks'!$A$2:$A$224,K130)=1,INDEX('Tasks'!$M$2:$M$224,MATCH(K130,'Tasks'!$A$2:$A$224,0)),"BAD ID"))</x:f>
        <x:v>0</x:v>
      </x:c>
      <x:c r="T130" s="14" t="n">
        <x:f>IF(L130="",0,IF(COUNTIFS('Tasks'!$A$2:$A$224,L130)=1,INDEX('Tasks'!$M$2:$M$224,MATCH(L130,'Tasks'!$A$2:$A$224,0)),"BAD ID"))</x:f>
        <x:v>0</x:v>
      </x:c>
      <x:c r="U130" s="14" t="n">
        <x:f>IF(M130="",0,IF(COUNTIFS('Tasks'!$A$2:$A$224,M130)=1,INDEX('Tasks'!$M$2:$M$224,MATCH(M130,'Tasks'!$A$2:$A$224,0)),"BAD ID"))</x:f>
        <x:v>0</x:v>
      </x:c>
      <x:c r="V130" s="14" t="n">
        <x:f>IF(N130="",0,IF(COUNTIFS('Tasks'!$A$2:$A$224,N130)=1,INDEX('Tasks'!$M$2:$M$224,MATCH(N130,'Tasks'!$A$2:$A$224,0)),"BAD ID"))</x:f>
        <x:v>0</x:v>
      </x:c>
      <x:c r="W130" s="14" t="n">
        <x:f>IF(O130="",0,IF(COUNTIFS('Tasks'!$A$2:$A$224,O130)=1,INDEX('Tasks'!$M$2:$M$224,MATCH(O130,'Tasks'!$A$2:$A$224,0)),"BAD ID"))</x:f>
        <x:v>0</x:v>
      </x:c>
    </x:row>
    <x:row r="131" ht="28" customHeight="1">
      <x:c r="A131" s="2" t="str">
        <x:v>DOC-13</x:v>
      </x:c>
      <x:c r="B131" s="2" t="str">
        <x:f>IF(VLOOKUP(A131,'Tasks'!$A$2:$X$224,15,FALSE)="","",VLOOKUP(A131,'Tasks'!$A$2:$X$224,15,FALSE))</x:f>
        <x:v>G4-01,E3-04</x:v>
      </x:c>
      <x:c r="C131" s="13" t="n">
        <x:f>VLOOKUP(A131,'Tasks'!$A$2:$X$224,12,FALSE)</x:f>
        <x:v>46324</x:v>
      </x:c>
      <x:c r="D131" s="2" t="n">
        <x:f>IF(B131="",0,LEN(B131)-LEN(SUBSTITUTE(B131,",",""))+1)</x:f>
        <x:v>2</x:v>
      </x:c>
      <x:c r="E131" s="14" t="n">
        <x:f>MAX(P131:W131)</x:f>
        <x:v>46323</x:v>
      </x:c>
      <x:c r="F131" s="2" t="n">
        <x:f>COUNTIFS(P131:W131,"BAD ID")</x:f>
        <x:v>0</x:v>
      </x:c>
      <x:c r="G131" s="2" t="str">
        <x:f>IF(D131&gt;8,"TOO MANY",IF(F131&gt;0,"BAD ID",IF(C131&gt;=E131,"OK","LATE")))</x:f>
        <x:v>OK</x:v>
      </x:c>
      <x:c r="H131" s="2" t="str">
        <x:f>TRIM(MID(SUBSTITUTE($B131,",",REPT(" ",100)),1,100))</x:f>
        <x:v>G4-01</x:v>
      </x:c>
      <x:c r="I131" s="2" t="str">
        <x:f>TRIM(MID(SUBSTITUTE($B131,",",REPT(" ",100)),101,100))</x:f>
        <x:v>E3-04</x:v>
      </x:c>
      <x:c r="J131" s="2" t="str">
        <x:f>TRIM(MID(SUBSTITUTE($B131,",",REPT(" ",100)),201,100))</x:f>
      </x:c>
      <x:c r="K131" s="2" t="str">
        <x:f>TRIM(MID(SUBSTITUTE($B131,",",REPT(" ",100)),301,100))</x:f>
      </x:c>
      <x:c r="L131" s="2" t="str">
        <x:f>TRIM(MID(SUBSTITUTE($B131,",",REPT(" ",100)),401,100))</x:f>
      </x:c>
      <x:c r="M131" s="2" t="str">
        <x:f>TRIM(MID(SUBSTITUTE($B131,",",REPT(" ",100)),501,100))</x:f>
      </x:c>
      <x:c r="N131" s="2" t="str">
        <x:f>TRIM(MID(SUBSTITUTE($B131,",",REPT(" ",100)),601,100))</x:f>
      </x:c>
      <x:c r="O131" s="2" t="str">
        <x:f>TRIM(MID(SUBSTITUTE($B131,",",REPT(" ",100)),701,100))</x:f>
      </x:c>
      <x:c r="P131" s="14" t="n">
        <x:f>IF(H131="",0,IF(COUNTIFS('Tasks'!$A$2:$A$224,H131)=1,INDEX('Tasks'!$M$2:$M$224,MATCH(H131,'Tasks'!$A$2:$A$224,0)),"BAD ID"))</x:f>
        <x:v>46323</x:v>
      </x:c>
      <x:c r="Q131" s="14" t="n">
        <x:f>IF(I131="",0,IF(COUNTIFS('Tasks'!$A$2:$A$224,I131)=1,INDEX('Tasks'!$M$2:$M$224,MATCH(I131,'Tasks'!$A$2:$A$224,0)),"BAD ID"))</x:f>
        <x:v>46321</x:v>
      </x:c>
      <x:c r="R131" s="14" t="n">
        <x:f>IF(J131="",0,IF(COUNTIFS('Tasks'!$A$2:$A$224,J131)=1,INDEX('Tasks'!$M$2:$M$224,MATCH(J131,'Tasks'!$A$2:$A$224,0)),"BAD ID"))</x:f>
        <x:v>0</x:v>
      </x:c>
      <x:c r="S131" s="14" t="n">
        <x:f>IF(K131="",0,IF(COUNTIFS('Tasks'!$A$2:$A$224,K131)=1,INDEX('Tasks'!$M$2:$M$224,MATCH(K131,'Tasks'!$A$2:$A$224,0)),"BAD ID"))</x:f>
        <x:v>0</x:v>
      </x:c>
      <x:c r="T131" s="14" t="n">
        <x:f>IF(L131="",0,IF(COUNTIFS('Tasks'!$A$2:$A$224,L131)=1,INDEX('Tasks'!$M$2:$M$224,MATCH(L131,'Tasks'!$A$2:$A$224,0)),"BAD ID"))</x:f>
        <x:v>0</x:v>
      </x:c>
      <x:c r="U131" s="14" t="n">
        <x:f>IF(M131="",0,IF(COUNTIFS('Tasks'!$A$2:$A$224,M131)=1,INDEX('Tasks'!$M$2:$M$224,MATCH(M131,'Tasks'!$A$2:$A$224,0)),"BAD ID"))</x:f>
        <x:v>0</x:v>
      </x:c>
      <x:c r="V131" s="14" t="n">
        <x:f>IF(N131="",0,IF(COUNTIFS('Tasks'!$A$2:$A$224,N131)=1,INDEX('Tasks'!$M$2:$M$224,MATCH(N131,'Tasks'!$A$2:$A$224,0)),"BAD ID"))</x:f>
        <x:v>0</x:v>
      </x:c>
      <x:c r="W131" s="14" t="n">
        <x:f>IF(O131="",0,IF(COUNTIFS('Tasks'!$A$2:$A$224,O131)=1,INDEX('Tasks'!$M$2:$M$224,MATCH(O131,'Tasks'!$A$2:$A$224,0)),"BAD ID"))</x:f>
        <x:v>0</x:v>
      </x:c>
    </x:row>
    <x:row r="132" ht="28" customHeight="1">
      <x:c r="A132" s="2" t="str">
        <x:v>DOC-14</x:v>
      </x:c>
      <x:c r="B132" s="2" t="str">
        <x:f>IF(VLOOKUP(A132,'Tasks'!$A$2:$X$224,15,FALSE)="","",VLOOKUP(A132,'Tasks'!$A$2:$X$224,15,FALSE))</x:f>
        <x:v>G4-01,E2-05</x:v>
      </x:c>
      <x:c r="C132" s="13" t="n">
        <x:f>VLOOKUP(A132,'Tasks'!$A$2:$X$224,12,FALSE)</x:f>
        <x:v>46324</x:v>
      </x:c>
      <x:c r="D132" s="2" t="n">
        <x:f>IF(B132="",0,LEN(B132)-LEN(SUBSTITUTE(B132,",",""))+1)</x:f>
        <x:v>2</x:v>
      </x:c>
      <x:c r="E132" s="14" t="n">
        <x:f>MAX(P132:W132)</x:f>
        <x:v>46323</x:v>
      </x:c>
      <x:c r="F132" s="2" t="n">
        <x:f>COUNTIFS(P132:W132,"BAD ID")</x:f>
        <x:v>0</x:v>
      </x:c>
      <x:c r="G132" s="2" t="str">
        <x:f>IF(D132&gt;8,"TOO MANY",IF(F132&gt;0,"BAD ID",IF(C132&gt;=E132,"OK","LATE")))</x:f>
        <x:v>OK</x:v>
      </x:c>
      <x:c r="H132" s="2" t="str">
        <x:f>TRIM(MID(SUBSTITUTE($B132,",",REPT(" ",100)),1,100))</x:f>
        <x:v>G4-01</x:v>
      </x:c>
      <x:c r="I132" s="2" t="str">
        <x:f>TRIM(MID(SUBSTITUTE($B132,",",REPT(" ",100)),101,100))</x:f>
        <x:v>E2-05</x:v>
      </x:c>
      <x:c r="J132" s="2" t="str">
        <x:f>TRIM(MID(SUBSTITUTE($B132,",",REPT(" ",100)),201,100))</x:f>
      </x:c>
      <x:c r="K132" s="2" t="str">
        <x:f>TRIM(MID(SUBSTITUTE($B132,",",REPT(" ",100)),301,100))</x:f>
      </x:c>
      <x:c r="L132" s="2" t="str">
        <x:f>TRIM(MID(SUBSTITUTE($B132,",",REPT(" ",100)),401,100))</x:f>
      </x:c>
      <x:c r="M132" s="2" t="str">
        <x:f>TRIM(MID(SUBSTITUTE($B132,",",REPT(" ",100)),501,100))</x:f>
      </x:c>
      <x:c r="N132" s="2" t="str">
        <x:f>TRIM(MID(SUBSTITUTE($B132,",",REPT(" ",100)),601,100))</x:f>
      </x:c>
      <x:c r="O132" s="2" t="str">
        <x:f>TRIM(MID(SUBSTITUTE($B132,",",REPT(" ",100)),701,100))</x:f>
      </x:c>
      <x:c r="P132" s="14" t="n">
        <x:f>IF(H132="",0,IF(COUNTIFS('Tasks'!$A$2:$A$224,H132)=1,INDEX('Tasks'!$M$2:$M$224,MATCH(H132,'Tasks'!$A$2:$A$224,0)),"BAD ID"))</x:f>
        <x:v>46323</x:v>
      </x:c>
      <x:c r="Q132" s="14" t="n">
        <x:f>IF(I132="",0,IF(COUNTIFS('Tasks'!$A$2:$A$224,I132)=1,INDEX('Tasks'!$M$2:$M$224,MATCH(I132,'Tasks'!$A$2:$A$224,0)),"BAD ID"))</x:f>
        <x:v>46321</x:v>
      </x:c>
      <x:c r="R132" s="14" t="n">
        <x:f>IF(J132="",0,IF(COUNTIFS('Tasks'!$A$2:$A$224,J132)=1,INDEX('Tasks'!$M$2:$M$224,MATCH(J132,'Tasks'!$A$2:$A$224,0)),"BAD ID"))</x:f>
        <x:v>0</x:v>
      </x:c>
      <x:c r="S132" s="14" t="n">
        <x:f>IF(K132="",0,IF(COUNTIFS('Tasks'!$A$2:$A$224,K132)=1,INDEX('Tasks'!$M$2:$M$224,MATCH(K132,'Tasks'!$A$2:$A$224,0)),"BAD ID"))</x:f>
        <x:v>0</x:v>
      </x:c>
      <x:c r="T132" s="14" t="n">
        <x:f>IF(L132="",0,IF(COUNTIFS('Tasks'!$A$2:$A$224,L132)=1,INDEX('Tasks'!$M$2:$M$224,MATCH(L132,'Tasks'!$A$2:$A$224,0)),"BAD ID"))</x:f>
        <x:v>0</x:v>
      </x:c>
      <x:c r="U132" s="14" t="n">
        <x:f>IF(M132="",0,IF(COUNTIFS('Tasks'!$A$2:$A$224,M132)=1,INDEX('Tasks'!$M$2:$M$224,MATCH(M132,'Tasks'!$A$2:$A$224,0)),"BAD ID"))</x:f>
        <x:v>0</x:v>
      </x:c>
      <x:c r="V132" s="14" t="n">
        <x:f>IF(N132="",0,IF(COUNTIFS('Tasks'!$A$2:$A$224,N132)=1,INDEX('Tasks'!$M$2:$M$224,MATCH(N132,'Tasks'!$A$2:$A$224,0)),"BAD ID"))</x:f>
        <x:v>0</x:v>
      </x:c>
      <x:c r="W132" s="14" t="n">
        <x:f>IF(O132="",0,IF(COUNTIFS('Tasks'!$A$2:$A$224,O132)=1,INDEX('Tasks'!$M$2:$M$224,MATCH(O132,'Tasks'!$A$2:$A$224,0)),"BAD ID"))</x:f>
        <x:v>0</x:v>
      </x:c>
    </x:row>
    <x:row r="133" ht="28" customHeight="1">
      <x:c r="A133" s="2" t="str">
        <x:v>TEST-19</x:v>
      </x:c>
      <x:c r="B133" s="2" t="str">
        <x:f>IF(VLOOKUP(A133,'Tasks'!$A$2:$X$224,15,FALSE)="","",VLOOKUP(A133,'Tasks'!$A$2:$X$224,15,FALSE))</x:f>
        <x:v>DOC-08,DOC-12</x:v>
      </x:c>
      <x:c r="C133" s="13" t="n">
        <x:f>VLOOKUP(A133,'Tasks'!$A$2:$X$224,12,FALSE)</x:f>
        <x:v>46325</x:v>
      </x:c>
      <x:c r="D133" s="2" t="n">
        <x:f>IF(B133="",0,LEN(B133)-LEN(SUBSTITUTE(B133,",",""))+1)</x:f>
        <x:v>2</x:v>
      </x:c>
      <x:c r="E133" s="14" t="n">
        <x:f>MAX(P133:W133)</x:f>
        <x:v>46324</x:v>
      </x:c>
      <x:c r="F133" s="2" t="n">
        <x:f>COUNTIFS(P133:W133,"BAD ID")</x:f>
        <x:v>0</x:v>
      </x:c>
      <x:c r="G133" s="2" t="str">
        <x:f>IF(D133&gt;8,"TOO MANY",IF(F133&gt;0,"BAD ID",IF(C133&gt;=E133,"OK","LATE")))</x:f>
        <x:v>OK</x:v>
      </x:c>
      <x:c r="H133" s="2" t="str">
        <x:f>TRIM(MID(SUBSTITUTE($B133,",",REPT(" ",100)),1,100))</x:f>
        <x:v>DOC-08</x:v>
      </x:c>
      <x:c r="I133" s="2" t="str">
        <x:f>TRIM(MID(SUBSTITUTE($B133,",",REPT(" ",100)),101,100))</x:f>
        <x:v>DOC-12</x:v>
      </x:c>
      <x:c r="J133" s="2" t="str">
        <x:f>TRIM(MID(SUBSTITUTE($B133,",",REPT(" ",100)),201,100))</x:f>
      </x:c>
      <x:c r="K133" s="2" t="str">
        <x:f>TRIM(MID(SUBSTITUTE($B133,",",REPT(" ",100)),301,100))</x:f>
      </x:c>
      <x:c r="L133" s="2" t="str">
        <x:f>TRIM(MID(SUBSTITUTE($B133,",",REPT(" ",100)),401,100))</x:f>
      </x:c>
      <x:c r="M133" s="2" t="str">
        <x:f>TRIM(MID(SUBSTITUTE($B133,",",REPT(" ",100)),501,100))</x:f>
      </x:c>
      <x:c r="N133" s="2" t="str">
        <x:f>TRIM(MID(SUBSTITUTE($B133,",",REPT(" ",100)),601,100))</x:f>
      </x:c>
      <x:c r="O133" s="2" t="str">
        <x:f>TRIM(MID(SUBSTITUTE($B133,",",REPT(" ",100)),701,100))</x:f>
      </x:c>
      <x:c r="P133" s="14" t="n">
        <x:f>IF(H133="",0,IF(COUNTIFS('Tasks'!$A$2:$A$224,H133)=1,INDEX('Tasks'!$M$2:$M$224,MATCH(H133,'Tasks'!$A$2:$A$224,0)),"BAD ID"))</x:f>
        <x:v>46324</x:v>
      </x:c>
      <x:c r="Q133" s="14" t="n">
        <x:f>IF(I133="",0,IF(COUNTIFS('Tasks'!$A$2:$A$224,I133)=1,INDEX('Tasks'!$M$2:$M$224,MATCH(I133,'Tasks'!$A$2:$A$224,0)),"BAD ID"))</x:f>
        <x:v>46324</x:v>
      </x:c>
      <x:c r="R133" s="14" t="n">
        <x:f>IF(J133="",0,IF(COUNTIFS('Tasks'!$A$2:$A$224,J133)=1,INDEX('Tasks'!$M$2:$M$224,MATCH(J133,'Tasks'!$A$2:$A$224,0)),"BAD ID"))</x:f>
        <x:v>0</x:v>
      </x:c>
      <x:c r="S133" s="14" t="n">
        <x:f>IF(K133="",0,IF(COUNTIFS('Tasks'!$A$2:$A$224,K133)=1,INDEX('Tasks'!$M$2:$M$224,MATCH(K133,'Tasks'!$A$2:$A$224,0)),"BAD ID"))</x:f>
        <x:v>0</x:v>
      </x:c>
      <x:c r="T133" s="14" t="n">
        <x:f>IF(L133="",0,IF(COUNTIFS('Tasks'!$A$2:$A$224,L133)=1,INDEX('Tasks'!$M$2:$M$224,MATCH(L133,'Tasks'!$A$2:$A$224,0)),"BAD ID"))</x:f>
        <x:v>0</x:v>
      </x:c>
      <x:c r="U133" s="14" t="n">
        <x:f>IF(M133="",0,IF(COUNTIFS('Tasks'!$A$2:$A$224,M133)=1,INDEX('Tasks'!$M$2:$M$224,MATCH(M133,'Tasks'!$A$2:$A$224,0)),"BAD ID"))</x:f>
        <x:v>0</x:v>
      </x:c>
      <x:c r="V133" s="14" t="n">
        <x:f>IF(N133="",0,IF(COUNTIFS('Tasks'!$A$2:$A$224,N133)=1,INDEX('Tasks'!$M$2:$M$224,MATCH(N133,'Tasks'!$A$2:$A$224,0)),"BAD ID"))</x:f>
        <x:v>0</x:v>
      </x:c>
      <x:c r="W133" s="14" t="n">
        <x:f>IF(O133="",0,IF(COUNTIFS('Tasks'!$A$2:$A$224,O133)=1,INDEX('Tasks'!$M$2:$M$224,MATCH(O133,'Tasks'!$A$2:$A$224,0)),"BAD ID"))</x:f>
        <x:v>0</x:v>
      </x:c>
    </x:row>
    <x:row r="134" ht="28" customHeight="1">
      <x:c r="A134" s="2" t="str">
        <x:v>TEST-20</x:v>
      </x:c>
      <x:c r="B134" s="2" t="str">
        <x:f>IF(VLOOKUP(A134,'Tasks'!$A$2:$X$224,15,FALSE)="","",VLOOKUP(A134,'Tasks'!$A$2:$X$224,15,FALSE))</x:f>
        <x:v>G4-01</x:v>
      </x:c>
      <x:c r="C134" s="13" t="n">
        <x:f>VLOOKUP(A134,'Tasks'!$A$2:$X$224,12,FALSE)</x:f>
        <x:v>46323</x:v>
      </x:c>
      <x:c r="D134" s="2" t="n">
        <x:f>IF(B134="",0,LEN(B134)-LEN(SUBSTITUTE(B134,",",""))+1)</x:f>
        <x:v>1</x:v>
      </x:c>
      <x:c r="E134" s="14" t="n">
        <x:f>MAX(P134:W134)</x:f>
        <x:v>46323</x:v>
      </x:c>
      <x:c r="F134" s="2" t="n">
        <x:f>COUNTIFS(P134:W134,"BAD ID")</x:f>
        <x:v>0</x:v>
      </x:c>
      <x:c r="G134" s="2" t="str">
        <x:f>IF(D134&gt;8,"TOO MANY",IF(F134&gt;0,"BAD ID",IF(C134&gt;=E134,"OK","LATE")))</x:f>
        <x:v>OK</x:v>
      </x:c>
      <x:c r="H134" s="2" t="str">
        <x:f>TRIM(MID(SUBSTITUTE($B134,",",REPT(" ",100)),1,100))</x:f>
        <x:v>G4-01</x:v>
      </x:c>
      <x:c r="I134" s="2" t="str">
        <x:f>TRIM(MID(SUBSTITUTE($B134,",",REPT(" ",100)),101,100))</x:f>
      </x:c>
      <x:c r="J134" s="2" t="str">
        <x:f>TRIM(MID(SUBSTITUTE($B134,",",REPT(" ",100)),201,100))</x:f>
      </x:c>
      <x:c r="K134" s="2" t="str">
        <x:f>TRIM(MID(SUBSTITUTE($B134,",",REPT(" ",100)),301,100))</x:f>
      </x:c>
      <x:c r="L134" s="2" t="str">
        <x:f>TRIM(MID(SUBSTITUTE($B134,",",REPT(" ",100)),401,100))</x:f>
      </x:c>
      <x:c r="M134" s="2" t="str">
        <x:f>TRIM(MID(SUBSTITUTE($B134,",",REPT(" ",100)),501,100))</x:f>
      </x:c>
      <x:c r="N134" s="2" t="str">
        <x:f>TRIM(MID(SUBSTITUTE($B134,",",REPT(" ",100)),601,100))</x:f>
      </x:c>
      <x:c r="O134" s="2" t="str">
        <x:f>TRIM(MID(SUBSTITUTE($B134,",",REPT(" ",100)),701,100))</x:f>
      </x:c>
      <x:c r="P134" s="14" t="n">
        <x:f>IF(H134="",0,IF(COUNTIFS('Tasks'!$A$2:$A$224,H134)=1,INDEX('Tasks'!$M$2:$M$224,MATCH(H134,'Tasks'!$A$2:$A$224,0)),"BAD ID"))</x:f>
        <x:v>46323</x:v>
      </x:c>
      <x:c r="Q134" s="14" t="n">
        <x:f>IF(I134="",0,IF(COUNTIFS('Tasks'!$A$2:$A$224,I134)=1,INDEX('Tasks'!$M$2:$M$224,MATCH(I134,'Tasks'!$A$2:$A$224,0)),"BAD ID"))</x:f>
        <x:v>0</x:v>
      </x:c>
      <x:c r="R134" s="14" t="n">
        <x:f>IF(J134="",0,IF(COUNTIFS('Tasks'!$A$2:$A$224,J134)=1,INDEX('Tasks'!$M$2:$M$224,MATCH(J134,'Tasks'!$A$2:$A$224,0)),"BAD ID"))</x:f>
        <x:v>0</x:v>
      </x:c>
      <x:c r="S134" s="14" t="n">
        <x:f>IF(K134="",0,IF(COUNTIFS('Tasks'!$A$2:$A$224,K134)=1,INDEX('Tasks'!$M$2:$M$224,MATCH(K134,'Tasks'!$A$2:$A$224,0)),"BAD ID"))</x:f>
        <x:v>0</x:v>
      </x:c>
      <x:c r="T134" s="14" t="n">
        <x:f>IF(L134="",0,IF(COUNTIFS('Tasks'!$A$2:$A$224,L134)=1,INDEX('Tasks'!$M$2:$M$224,MATCH(L134,'Tasks'!$A$2:$A$224,0)),"BAD ID"))</x:f>
        <x:v>0</x:v>
      </x:c>
      <x:c r="U134" s="14" t="n">
        <x:f>IF(M134="",0,IF(COUNTIFS('Tasks'!$A$2:$A$224,M134)=1,INDEX('Tasks'!$M$2:$M$224,MATCH(M134,'Tasks'!$A$2:$A$224,0)),"BAD ID"))</x:f>
        <x:v>0</x:v>
      </x:c>
      <x:c r="V134" s="14" t="n">
        <x:f>IF(N134="",0,IF(COUNTIFS('Tasks'!$A$2:$A$224,N134)=1,INDEX('Tasks'!$M$2:$M$224,MATCH(N134,'Tasks'!$A$2:$A$224,0)),"BAD ID"))</x:f>
        <x:v>0</x:v>
      </x:c>
      <x:c r="W134" s="14" t="n">
        <x:f>IF(O134="",0,IF(COUNTIFS('Tasks'!$A$2:$A$224,O134)=1,INDEX('Tasks'!$M$2:$M$224,MATCH(O134,'Tasks'!$A$2:$A$224,0)),"BAD ID"))</x:f>
        <x:v>0</x:v>
      </x:c>
    </x:row>
    <x:row r="135" ht="28" customHeight="1">
      <x:c r="A135" s="2" t="str">
        <x:v>E5-09</x:v>
      </x:c>
      <x:c r="B135" s="2" t="str">
        <x:f>IF(VLOOKUP(A135,'Tasks'!$A$2:$X$224,15,FALSE)="","",VLOOKUP(A135,'Tasks'!$A$2:$X$224,15,FALSE))</x:f>
        <x:v>E5-08</x:v>
      </x:c>
      <x:c r="C135" s="13" t="n">
        <x:f>VLOOKUP(A135,'Tasks'!$A$2:$X$224,12,FALSE)</x:f>
        <x:v>46323</x:v>
      </x:c>
      <x:c r="D135" s="2" t="n">
        <x:f>IF(B135="",0,LEN(B135)-LEN(SUBSTITUTE(B135,",",""))+1)</x:f>
        <x:v>1</x:v>
      </x:c>
      <x:c r="E135" s="14" t="n">
        <x:f>MAX(P135:W135)</x:f>
        <x:v>46322</x:v>
      </x:c>
      <x:c r="F135" s="2" t="n">
        <x:f>COUNTIFS(P135:W135,"BAD ID")</x:f>
        <x:v>0</x:v>
      </x:c>
      <x:c r="G135" s="2" t="str">
        <x:f>IF(D135&gt;8,"TOO MANY",IF(F135&gt;0,"BAD ID",IF(C135&gt;=E135,"OK","LATE")))</x:f>
        <x:v>OK</x:v>
      </x:c>
      <x:c r="H135" s="2" t="str">
        <x:f>TRIM(MID(SUBSTITUTE($B135,",",REPT(" ",100)),1,100))</x:f>
        <x:v>E5-08</x:v>
      </x:c>
      <x:c r="I135" s="2" t="str">
        <x:f>TRIM(MID(SUBSTITUTE($B135,",",REPT(" ",100)),101,100))</x:f>
      </x:c>
      <x:c r="J135" s="2" t="str">
        <x:f>TRIM(MID(SUBSTITUTE($B135,",",REPT(" ",100)),201,100))</x:f>
      </x:c>
      <x:c r="K135" s="2" t="str">
        <x:f>TRIM(MID(SUBSTITUTE($B135,",",REPT(" ",100)),301,100))</x:f>
      </x:c>
      <x:c r="L135" s="2" t="str">
        <x:f>TRIM(MID(SUBSTITUTE($B135,",",REPT(" ",100)),401,100))</x:f>
      </x:c>
      <x:c r="M135" s="2" t="str">
        <x:f>TRIM(MID(SUBSTITUTE($B135,",",REPT(" ",100)),501,100))</x:f>
      </x:c>
      <x:c r="N135" s="2" t="str">
        <x:f>TRIM(MID(SUBSTITUTE($B135,",",REPT(" ",100)),601,100))</x:f>
      </x:c>
      <x:c r="O135" s="2" t="str">
        <x:f>TRIM(MID(SUBSTITUTE($B135,",",REPT(" ",100)),701,100))</x:f>
      </x:c>
      <x:c r="P135" s="14" t="n">
        <x:f>IF(H135="",0,IF(COUNTIFS('Tasks'!$A$2:$A$224,H135)=1,INDEX('Tasks'!$M$2:$M$224,MATCH(H135,'Tasks'!$A$2:$A$224,0)),"BAD ID"))</x:f>
        <x:v>46322</x:v>
      </x:c>
      <x:c r="Q135" s="14" t="n">
        <x:f>IF(I135="",0,IF(COUNTIFS('Tasks'!$A$2:$A$224,I135)=1,INDEX('Tasks'!$M$2:$M$224,MATCH(I135,'Tasks'!$A$2:$A$224,0)),"BAD ID"))</x:f>
        <x:v>0</x:v>
      </x:c>
      <x:c r="R135" s="14" t="n">
        <x:f>IF(J135="",0,IF(COUNTIFS('Tasks'!$A$2:$A$224,J135)=1,INDEX('Tasks'!$M$2:$M$224,MATCH(J135,'Tasks'!$A$2:$A$224,0)),"BAD ID"))</x:f>
        <x:v>0</x:v>
      </x:c>
      <x:c r="S135" s="14" t="n">
        <x:f>IF(K135="",0,IF(COUNTIFS('Tasks'!$A$2:$A$224,K135)=1,INDEX('Tasks'!$M$2:$M$224,MATCH(K135,'Tasks'!$A$2:$A$224,0)),"BAD ID"))</x:f>
        <x:v>0</x:v>
      </x:c>
      <x:c r="T135" s="14" t="n">
        <x:f>IF(L135="",0,IF(COUNTIFS('Tasks'!$A$2:$A$224,L135)=1,INDEX('Tasks'!$M$2:$M$224,MATCH(L135,'Tasks'!$A$2:$A$224,0)),"BAD ID"))</x:f>
        <x:v>0</x:v>
      </x:c>
      <x:c r="U135" s="14" t="n">
        <x:f>IF(M135="",0,IF(COUNTIFS('Tasks'!$A$2:$A$224,M135)=1,INDEX('Tasks'!$M$2:$M$224,MATCH(M135,'Tasks'!$A$2:$A$224,0)),"BAD ID"))</x:f>
        <x:v>0</x:v>
      </x:c>
      <x:c r="V135" s="14" t="n">
        <x:f>IF(N135="",0,IF(COUNTIFS('Tasks'!$A$2:$A$224,N135)=1,INDEX('Tasks'!$M$2:$M$224,MATCH(N135,'Tasks'!$A$2:$A$224,0)),"BAD ID"))</x:f>
        <x:v>0</x:v>
      </x:c>
      <x:c r="W135" s="14" t="n">
        <x:f>IF(O135="",0,IF(COUNTIFS('Tasks'!$A$2:$A$224,O135)=1,INDEX('Tasks'!$M$2:$M$224,MATCH(O135,'Tasks'!$A$2:$A$224,0)),"BAD ID"))</x:f>
        <x:v>0</x:v>
      </x:c>
    </x:row>
    <x:row r="136" ht="28" customHeight="1">
      <x:c r="A136" s="2" t="str">
        <x:v>DOC-15</x:v>
      </x:c>
      <x:c r="B136" s="2" t="str">
        <x:f>IF(VLOOKUP(A136,'Tasks'!$A$2:$X$224,15,FALSE)="","",VLOOKUP(A136,'Tasks'!$A$2:$X$224,15,FALSE))</x:f>
        <x:v>DOC-09</x:v>
      </x:c>
      <x:c r="C136" s="13" t="n">
        <x:f>VLOOKUP(A136,'Tasks'!$A$2:$X$224,12,FALSE)</x:f>
        <x:v>46325</x:v>
      </x:c>
      <x:c r="D136" s="2" t="n">
        <x:f>IF(B136="",0,LEN(B136)-LEN(SUBSTITUTE(B136,",",""))+1)</x:f>
        <x:v>1</x:v>
      </x:c>
      <x:c r="E136" s="14" t="n">
        <x:f>MAX(P136:W136)</x:f>
        <x:v>46325</x:v>
      </x:c>
      <x:c r="F136" s="2" t="n">
        <x:f>COUNTIFS(P136:W136,"BAD ID")</x:f>
        <x:v>0</x:v>
      </x:c>
      <x:c r="G136" s="2" t="str">
        <x:f>IF(D136&gt;8,"TOO MANY",IF(F136&gt;0,"BAD ID",IF(C136&gt;=E136,"OK","LATE")))</x:f>
        <x:v>OK</x:v>
      </x:c>
      <x:c r="H136" s="2" t="str">
        <x:f>TRIM(MID(SUBSTITUTE($B136,",",REPT(" ",100)),1,100))</x:f>
        <x:v>DOC-09</x:v>
      </x:c>
      <x:c r="I136" s="2" t="str">
        <x:f>TRIM(MID(SUBSTITUTE($B136,",",REPT(" ",100)),101,100))</x:f>
      </x:c>
      <x:c r="J136" s="2" t="str">
        <x:f>TRIM(MID(SUBSTITUTE($B136,",",REPT(" ",100)),201,100))</x:f>
      </x:c>
      <x:c r="K136" s="2" t="str">
        <x:f>TRIM(MID(SUBSTITUTE($B136,",",REPT(" ",100)),301,100))</x:f>
      </x:c>
      <x:c r="L136" s="2" t="str">
        <x:f>TRIM(MID(SUBSTITUTE($B136,",",REPT(" ",100)),401,100))</x:f>
      </x:c>
      <x:c r="M136" s="2" t="str">
        <x:f>TRIM(MID(SUBSTITUTE($B136,",",REPT(" ",100)),501,100))</x:f>
      </x:c>
      <x:c r="N136" s="2" t="str">
        <x:f>TRIM(MID(SUBSTITUTE($B136,",",REPT(" ",100)),601,100))</x:f>
      </x:c>
      <x:c r="O136" s="2" t="str">
        <x:f>TRIM(MID(SUBSTITUTE($B136,",",REPT(" ",100)),701,100))</x:f>
      </x:c>
      <x:c r="P136" s="14" t="n">
        <x:f>IF(H136="",0,IF(COUNTIFS('Tasks'!$A$2:$A$224,H136)=1,INDEX('Tasks'!$M$2:$M$224,MATCH(H136,'Tasks'!$A$2:$A$224,0)),"BAD ID"))</x:f>
        <x:v>46325</x:v>
      </x:c>
      <x:c r="Q136" s="14" t="n">
        <x:f>IF(I136="",0,IF(COUNTIFS('Tasks'!$A$2:$A$224,I136)=1,INDEX('Tasks'!$M$2:$M$224,MATCH(I136,'Tasks'!$A$2:$A$224,0)),"BAD ID"))</x:f>
        <x:v>0</x:v>
      </x:c>
      <x:c r="R136" s="14" t="n">
        <x:f>IF(J136="",0,IF(COUNTIFS('Tasks'!$A$2:$A$224,J136)=1,INDEX('Tasks'!$M$2:$M$224,MATCH(J136,'Tasks'!$A$2:$A$224,0)),"BAD ID"))</x:f>
        <x:v>0</x:v>
      </x:c>
      <x:c r="S136" s="14" t="n">
        <x:f>IF(K136="",0,IF(COUNTIFS('Tasks'!$A$2:$A$224,K136)=1,INDEX('Tasks'!$M$2:$M$224,MATCH(K136,'Tasks'!$A$2:$A$224,0)),"BAD ID"))</x:f>
        <x:v>0</x:v>
      </x:c>
      <x:c r="T136" s="14" t="n">
        <x:f>IF(L136="",0,IF(COUNTIFS('Tasks'!$A$2:$A$224,L136)=1,INDEX('Tasks'!$M$2:$M$224,MATCH(L136,'Tasks'!$A$2:$A$224,0)),"BAD ID"))</x:f>
        <x:v>0</x:v>
      </x:c>
      <x:c r="U136" s="14" t="n">
        <x:f>IF(M136="",0,IF(COUNTIFS('Tasks'!$A$2:$A$224,M136)=1,INDEX('Tasks'!$M$2:$M$224,MATCH(M136,'Tasks'!$A$2:$A$224,0)),"BAD ID"))</x:f>
        <x:v>0</x:v>
      </x:c>
      <x:c r="V136" s="14" t="n">
        <x:f>IF(N136="",0,IF(COUNTIFS('Tasks'!$A$2:$A$224,N136)=1,INDEX('Tasks'!$M$2:$M$224,MATCH(N136,'Tasks'!$A$2:$A$224,0)),"BAD ID"))</x:f>
        <x:v>0</x:v>
      </x:c>
      <x:c r="W136" s="14" t="n">
        <x:f>IF(O136="",0,IF(COUNTIFS('Tasks'!$A$2:$A$224,O136)=1,INDEX('Tasks'!$M$2:$M$224,MATCH(O136,'Tasks'!$A$2:$A$224,0)),"BAD ID"))</x:f>
        <x:v>0</x:v>
      </x:c>
    </x:row>
    <x:row r="137" ht="28" customHeight="1">
      <x:c r="A137" s="2" t="str">
        <x:v>TEST-21</x:v>
      </x:c>
      <x:c r="B137" s="2" t="str">
        <x:f>IF(VLOOKUP(A137,'Tasks'!$A$2:$X$224,15,FALSE)="","",VLOOKUP(A137,'Tasks'!$A$2:$X$224,15,FALSE))</x:f>
        <x:v>DEMO-02,G4-01</x:v>
      </x:c>
      <x:c r="C137" s="13" t="n">
        <x:f>VLOOKUP(A137,'Tasks'!$A$2:$X$224,12,FALSE)</x:f>
        <x:v>46325</x:v>
      </x:c>
      <x:c r="D137" s="2" t="n">
        <x:f>IF(B137="",0,LEN(B137)-LEN(SUBSTITUTE(B137,",",""))+1)</x:f>
        <x:v>2</x:v>
      </x:c>
      <x:c r="E137" s="14" t="n">
        <x:f>MAX(P137:W137)</x:f>
        <x:v>46324</x:v>
      </x:c>
      <x:c r="F137" s="2" t="n">
        <x:f>COUNTIFS(P137:W137,"BAD ID")</x:f>
        <x:v>0</x:v>
      </x:c>
      <x:c r="G137" s="2" t="str">
        <x:f>IF(D137&gt;8,"TOO MANY",IF(F137&gt;0,"BAD ID",IF(C137&gt;=E137,"OK","LATE")))</x:f>
        <x:v>OK</x:v>
      </x:c>
      <x:c r="H137" s="2" t="str">
        <x:f>TRIM(MID(SUBSTITUTE($B137,",",REPT(" ",100)),1,100))</x:f>
        <x:v>DEMO-02</x:v>
      </x:c>
      <x:c r="I137" s="2" t="str">
        <x:f>TRIM(MID(SUBSTITUTE($B137,",",REPT(" ",100)),101,100))</x:f>
        <x:v>G4-01</x:v>
      </x:c>
      <x:c r="J137" s="2" t="str">
        <x:f>TRIM(MID(SUBSTITUTE($B137,",",REPT(" ",100)),201,100))</x:f>
      </x:c>
      <x:c r="K137" s="2" t="str">
        <x:f>TRIM(MID(SUBSTITUTE($B137,",",REPT(" ",100)),301,100))</x:f>
      </x:c>
      <x:c r="L137" s="2" t="str">
        <x:f>TRIM(MID(SUBSTITUTE($B137,",",REPT(" ",100)),401,100))</x:f>
      </x:c>
      <x:c r="M137" s="2" t="str">
        <x:f>TRIM(MID(SUBSTITUTE($B137,",",REPT(" ",100)),501,100))</x:f>
      </x:c>
      <x:c r="N137" s="2" t="str">
        <x:f>TRIM(MID(SUBSTITUTE($B137,",",REPT(" ",100)),601,100))</x:f>
      </x:c>
      <x:c r="O137" s="2" t="str">
        <x:f>TRIM(MID(SUBSTITUTE($B137,",",REPT(" ",100)),701,100))</x:f>
      </x:c>
      <x:c r="P137" s="14" t="n">
        <x:f>IF(H137="",0,IF(COUNTIFS('Tasks'!$A$2:$A$224,H137)=1,INDEX('Tasks'!$M$2:$M$224,MATCH(H137,'Tasks'!$A$2:$A$224,0)),"BAD ID"))</x:f>
        <x:v>46324</x:v>
      </x:c>
      <x:c r="Q137" s="14" t="n">
        <x:f>IF(I137="",0,IF(COUNTIFS('Tasks'!$A$2:$A$224,I137)=1,INDEX('Tasks'!$M$2:$M$224,MATCH(I137,'Tasks'!$A$2:$A$224,0)),"BAD ID"))</x:f>
        <x:v>46323</x:v>
      </x:c>
      <x:c r="R137" s="14" t="n">
        <x:f>IF(J137="",0,IF(COUNTIFS('Tasks'!$A$2:$A$224,J137)=1,INDEX('Tasks'!$M$2:$M$224,MATCH(J137,'Tasks'!$A$2:$A$224,0)),"BAD ID"))</x:f>
        <x:v>0</x:v>
      </x:c>
      <x:c r="S137" s="14" t="n">
        <x:f>IF(K137="",0,IF(COUNTIFS('Tasks'!$A$2:$A$224,K137)=1,INDEX('Tasks'!$M$2:$M$224,MATCH(K137,'Tasks'!$A$2:$A$224,0)),"BAD ID"))</x:f>
        <x:v>0</x:v>
      </x:c>
      <x:c r="T137" s="14" t="n">
        <x:f>IF(L137="",0,IF(COUNTIFS('Tasks'!$A$2:$A$224,L137)=1,INDEX('Tasks'!$M$2:$M$224,MATCH(L137,'Tasks'!$A$2:$A$224,0)),"BAD ID"))</x:f>
        <x:v>0</x:v>
      </x:c>
      <x:c r="U137" s="14" t="n">
        <x:f>IF(M137="",0,IF(COUNTIFS('Tasks'!$A$2:$A$224,M137)=1,INDEX('Tasks'!$M$2:$M$224,MATCH(M137,'Tasks'!$A$2:$A$224,0)),"BAD ID"))</x:f>
        <x:v>0</x:v>
      </x:c>
      <x:c r="V137" s="14" t="n">
        <x:f>IF(N137="",0,IF(COUNTIFS('Tasks'!$A$2:$A$224,N137)=1,INDEX('Tasks'!$M$2:$M$224,MATCH(N137,'Tasks'!$A$2:$A$224,0)),"BAD ID"))</x:f>
        <x:v>0</x:v>
      </x:c>
      <x:c r="W137" s="14" t="n">
        <x:f>IF(O137="",0,IF(COUNTIFS('Tasks'!$A$2:$A$224,O137)=1,INDEX('Tasks'!$M$2:$M$224,MATCH(O137,'Tasks'!$A$2:$A$224,0)),"BAD ID"))</x:f>
        <x:v>0</x:v>
      </x:c>
    </x:row>
    <x:row r="138" ht="28" customHeight="1">
      <x:c r="A138" s="2" t="str">
        <x:v>DOC-16</x:v>
      </x:c>
      <x:c r="B138" s="2" t="str">
        <x:f>IF(VLOOKUP(A138,'Tasks'!$A$2:$X$224,15,FALSE)="","",VLOOKUP(A138,'Tasks'!$A$2:$X$224,15,FALSE))</x:f>
        <x:v>G4-01,E5-06</x:v>
      </x:c>
      <x:c r="C138" s="13" t="n">
        <x:f>VLOOKUP(A138,'Tasks'!$A$2:$X$224,12,FALSE)</x:f>
        <x:v>46324</x:v>
      </x:c>
      <x:c r="D138" s="2" t="n">
        <x:f>IF(B138="",0,LEN(B138)-LEN(SUBSTITUTE(B138,",",""))+1)</x:f>
        <x:v>2</x:v>
      </x:c>
      <x:c r="E138" s="14" t="n">
        <x:f>MAX(P138:W138)</x:f>
        <x:v>46323</x:v>
      </x:c>
      <x:c r="F138" s="2" t="n">
        <x:f>COUNTIFS(P138:W138,"BAD ID")</x:f>
        <x:v>0</x:v>
      </x:c>
      <x:c r="G138" s="2" t="str">
        <x:f>IF(D138&gt;8,"TOO MANY",IF(F138&gt;0,"BAD ID",IF(C138&gt;=E138,"OK","LATE")))</x:f>
        <x:v>OK</x:v>
      </x:c>
      <x:c r="H138" s="2" t="str">
        <x:f>TRIM(MID(SUBSTITUTE($B138,",",REPT(" ",100)),1,100))</x:f>
        <x:v>G4-01</x:v>
      </x:c>
      <x:c r="I138" s="2" t="str">
        <x:f>TRIM(MID(SUBSTITUTE($B138,",",REPT(" ",100)),101,100))</x:f>
        <x:v>E5-06</x:v>
      </x:c>
      <x:c r="J138" s="2" t="str">
        <x:f>TRIM(MID(SUBSTITUTE($B138,",",REPT(" ",100)),201,100))</x:f>
      </x:c>
      <x:c r="K138" s="2" t="str">
        <x:f>TRIM(MID(SUBSTITUTE($B138,",",REPT(" ",100)),301,100))</x:f>
      </x:c>
      <x:c r="L138" s="2" t="str">
        <x:f>TRIM(MID(SUBSTITUTE($B138,",",REPT(" ",100)),401,100))</x:f>
      </x:c>
      <x:c r="M138" s="2" t="str">
        <x:f>TRIM(MID(SUBSTITUTE($B138,",",REPT(" ",100)),501,100))</x:f>
      </x:c>
      <x:c r="N138" s="2" t="str">
        <x:f>TRIM(MID(SUBSTITUTE($B138,",",REPT(" ",100)),601,100))</x:f>
      </x:c>
      <x:c r="O138" s="2" t="str">
        <x:f>TRIM(MID(SUBSTITUTE($B138,",",REPT(" ",100)),701,100))</x:f>
      </x:c>
      <x:c r="P138" s="14" t="n">
        <x:f>IF(H138="",0,IF(COUNTIFS('Tasks'!$A$2:$A$224,H138)=1,INDEX('Tasks'!$M$2:$M$224,MATCH(H138,'Tasks'!$A$2:$A$224,0)),"BAD ID"))</x:f>
        <x:v>46323</x:v>
      </x:c>
      <x:c r="Q138" s="14" t="n">
        <x:f>IF(I138="",0,IF(COUNTIFS('Tasks'!$A$2:$A$224,I138)=1,INDEX('Tasks'!$M$2:$M$224,MATCH(I138,'Tasks'!$A$2:$A$224,0)),"BAD ID"))</x:f>
        <x:v>46321</x:v>
      </x:c>
      <x:c r="R138" s="14" t="n">
        <x:f>IF(J138="",0,IF(COUNTIFS('Tasks'!$A$2:$A$224,J138)=1,INDEX('Tasks'!$M$2:$M$224,MATCH(J138,'Tasks'!$A$2:$A$224,0)),"BAD ID"))</x:f>
        <x:v>0</x:v>
      </x:c>
      <x:c r="S138" s="14" t="n">
        <x:f>IF(K138="",0,IF(COUNTIFS('Tasks'!$A$2:$A$224,K138)=1,INDEX('Tasks'!$M$2:$M$224,MATCH(K138,'Tasks'!$A$2:$A$224,0)),"BAD ID"))</x:f>
        <x:v>0</x:v>
      </x:c>
      <x:c r="T138" s="14" t="n">
        <x:f>IF(L138="",0,IF(COUNTIFS('Tasks'!$A$2:$A$224,L138)=1,INDEX('Tasks'!$M$2:$M$224,MATCH(L138,'Tasks'!$A$2:$A$224,0)),"BAD ID"))</x:f>
        <x:v>0</x:v>
      </x:c>
      <x:c r="U138" s="14" t="n">
        <x:f>IF(M138="",0,IF(COUNTIFS('Tasks'!$A$2:$A$224,M138)=1,INDEX('Tasks'!$M$2:$M$224,MATCH(M138,'Tasks'!$A$2:$A$224,0)),"BAD ID"))</x:f>
        <x:v>0</x:v>
      </x:c>
      <x:c r="V138" s="14" t="n">
        <x:f>IF(N138="",0,IF(COUNTIFS('Tasks'!$A$2:$A$224,N138)=1,INDEX('Tasks'!$M$2:$M$224,MATCH(N138,'Tasks'!$A$2:$A$224,0)),"BAD ID"))</x:f>
        <x:v>0</x:v>
      </x:c>
      <x:c r="W138" s="14" t="n">
        <x:f>IF(O138="",0,IF(COUNTIFS('Tasks'!$A$2:$A$224,O138)=1,INDEX('Tasks'!$M$2:$M$224,MATCH(O138,'Tasks'!$A$2:$A$224,0)),"BAD ID"))</x:f>
        <x:v>0</x:v>
      </x:c>
    </x:row>
    <x:row r="139" ht="28" customHeight="1">
      <x:c r="A139" s="2" t="str">
        <x:v>REV-MOH-1</x:v>
      </x:c>
      <x:c r="B139" s="2" t="str">
        <x:f>IF(VLOOKUP(A139,'Tasks'!$A$2:$X$224,15,FALSE)="","",VLOOKUP(A139,'Tasks'!$A$2:$X$224,15,FALSE))</x:f>
        <x:v>PROC-01</x:v>
      </x:c>
      <x:c r="C139" s="13" t="n">
        <x:f>VLOOKUP(A139,'Tasks'!$A$2:$X$224,12,FALSE)</x:f>
        <x:v>46307</x:v>
      </x:c>
      <x:c r="D139" s="2" t="n">
        <x:f>IF(B139="",0,LEN(B139)-LEN(SUBSTITUTE(B139,",",""))+1)</x:f>
        <x:v>1</x:v>
      </x:c>
      <x:c r="E139" s="14" t="n">
        <x:f>MAX(P139:W139)</x:f>
        <x:v>46307</x:v>
      </x:c>
      <x:c r="F139" s="2" t="n">
        <x:f>COUNTIFS(P139:W139,"BAD ID")</x:f>
        <x:v>0</x:v>
      </x:c>
      <x:c r="G139" s="2" t="str">
        <x:f>IF(D139&gt;8,"TOO MANY",IF(F139&gt;0,"BAD ID",IF(C139&gt;=E139,"OK","LATE")))</x:f>
        <x:v>OK</x:v>
      </x:c>
      <x:c r="H139" s="2" t="str">
        <x:f>TRIM(MID(SUBSTITUTE($B139,",",REPT(" ",100)),1,100))</x:f>
        <x:v>PROC-01</x:v>
      </x:c>
      <x:c r="I139" s="2" t="str">
        <x:f>TRIM(MID(SUBSTITUTE($B139,",",REPT(" ",100)),101,100))</x:f>
      </x:c>
      <x:c r="J139" s="2" t="str">
        <x:f>TRIM(MID(SUBSTITUTE($B139,",",REPT(" ",100)),201,100))</x:f>
      </x:c>
      <x:c r="K139" s="2" t="str">
        <x:f>TRIM(MID(SUBSTITUTE($B139,",",REPT(" ",100)),301,100))</x:f>
      </x:c>
      <x:c r="L139" s="2" t="str">
        <x:f>TRIM(MID(SUBSTITUTE($B139,",",REPT(" ",100)),401,100))</x:f>
      </x:c>
      <x:c r="M139" s="2" t="str">
        <x:f>TRIM(MID(SUBSTITUTE($B139,",",REPT(" ",100)),501,100))</x:f>
      </x:c>
      <x:c r="N139" s="2" t="str">
        <x:f>TRIM(MID(SUBSTITUTE($B139,",",REPT(" ",100)),601,100))</x:f>
      </x:c>
      <x:c r="O139" s="2" t="str">
        <x:f>TRIM(MID(SUBSTITUTE($B139,",",REPT(" ",100)),701,100))</x:f>
      </x:c>
      <x:c r="P139" s="14" t="n">
        <x:f>IF(H139="",0,IF(COUNTIFS('Tasks'!$A$2:$A$224,H139)=1,INDEX('Tasks'!$M$2:$M$224,MATCH(H139,'Tasks'!$A$2:$A$224,0)),"BAD ID"))</x:f>
        <x:v>46307</x:v>
      </x:c>
      <x:c r="Q139" s="14" t="n">
        <x:f>IF(I139="",0,IF(COUNTIFS('Tasks'!$A$2:$A$224,I139)=1,INDEX('Tasks'!$M$2:$M$224,MATCH(I139,'Tasks'!$A$2:$A$224,0)),"BAD ID"))</x:f>
        <x:v>0</x:v>
      </x:c>
      <x:c r="R139" s="14" t="n">
        <x:f>IF(J139="",0,IF(COUNTIFS('Tasks'!$A$2:$A$224,J139)=1,INDEX('Tasks'!$M$2:$M$224,MATCH(J139,'Tasks'!$A$2:$A$224,0)),"BAD ID"))</x:f>
        <x:v>0</x:v>
      </x:c>
      <x:c r="S139" s="14" t="n">
        <x:f>IF(K139="",0,IF(COUNTIFS('Tasks'!$A$2:$A$224,K139)=1,INDEX('Tasks'!$M$2:$M$224,MATCH(K139,'Tasks'!$A$2:$A$224,0)),"BAD ID"))</x:f>
        <x:v>0</x:v>
      </x:c>
      <x:c r="T139" s="14" t="n">
        <x:f>IF(L139="",0,IF(COUNTIFS('Tasks'!$A$2:$A$224,L139)=1,INDEX('Tasks'!$M$2:$M$224,MATCH(L139,'Tasks'!$A$2:$A$224,0)),"BAD ID"))</x:f>
        <x:v>0</x:v>
      </x:c>
      <x:c r="U139" s="14" t="n">
        <x:f>IF(M139="",0,IF(COUNTIFS('Tasks'!$A$2:$A$224,M139)=1,INDEX('Tasks'!$M$2:$M$224,MATCH(M139,'Tasks'!$A$2:$A$224,0)),"BAD ID"))</x:f>
        <x:v>0</x:v>
      </x:c>
      <x:c r="V139" s="14" t="n">
        <x:f>IF(N139="",0,IF(COUNTIFS('Tasks'!$A$2:$A$224,N139)=1,INDEX('Tasks'!$M$2:$M$224,MATCH(N139,'Tasks'!$A$2:$A$224,0)),"BAD ID"))</x:f>
        <x:v>0</x:v>
      </x:c>
      <x:c r="W139" s="14" t="n">
        <x:f>IF(O139="",0,IF(COUNTIFS('Tasks'!$A$2:$A$224,O139)=1,INDEX('Tasks'!$M$2:$M$224,MATCH(O139,'Tasks'!$A$2:$A$224,0)),"BAD ID"))</x:f>
        <x:v>0</x:v>
      </x:c>
    </x:row>
    <x:row r="140" ht="28" customHeight="1">
      <x:c r="A140" s="2" t="str">
        <x:v>COM-MOH-1</x:v>
      </x:c>
      <x:c r="B140" s="2" t="str">
        <x:f>IF(VLOOKUP(A140,'Tasks'!$A$2:$X$224,15,FALSE)="","",VLOOKUP(A140,'Tasks'!$A$2:$X$224,15,FALSE))</x:f>
      </x:c>
      <x:c r="C140" s="13" t="n">
        <x:f>VLOOKUP(A140,'Tasks'!$A$2:$X$224,12,FALSE)</x:f>
        <x:v>46307</x:v>
      </x:c>
      <x:c r="D140" s="2" t="n">
        <x:f>IF(B140="",0,LEN(B140)-LEN(SUBSTITUTE(B140,",",""))+1)</x:f>
        <x:v>0</x:v>
      </x:c>
      <x:c r="E140" s="14" t="n">
        <x:f>MAX(P140:W140)</x:f>
        <x:v>0</x:v>
      </x:c>
      <x:c r="F140" s="2" t="n">
        <x:f>COUNTIFS(P140:W140,"BAD ID")</x:f>
        <x:v>0</x:v>
      </x:c>
      <x:c r="G140" s="2" t="str">
        <x:f>IF(D140&gt;8,"TOO MANY",IF(F140&gt;0,"BAD ID",IF(C140&gt;=E140,"OK","LATE")))</x:f>
        <x:v>OK</x:v>
      </x:c>
      <x:c r="H140" s="2" t="str">
        <x:f>TRIM(MID(SUBSTITUTE($B140,",",REPT(" ",100)),1,100))</x:f>
      </x:c>
      <x:c r="I140" s="2" t="str">
        <x:f>TRIM(MID(SUBSTITUTE($B140,",",REPT(" ",100)),101,100))</x:f>
      </x:c>
      <x:c r="J140" s="2" t="str">
        <x:f>TRIM(MID(SUBSTITUTE($B140,",",REPT(" ",100)),201,100))</x:f>
      </x:c>
      <x:c r="K140" s="2" t="str">
        <x:f>TRIM(MID(SUBSTITUTE($B140,",",REPT(" ",100)),301,100))</x:f>
      </x:c>
      <x:c r="L140" s="2" t="str">
        <x:f>TRIM(MID(SUBSTITUTE($B140,",",REPT(" ",100)),401,100))</x:f>
      </x:c>
      <x:c r="M140" s="2" t="str">
        <x:f>TRIM(MID(SUBSTITUTE($B140,",",REPT(" ",100)),501,100))</x:f>
      </x:c>
      <x:c r="N140" s="2" t="str">
        <x:f>TRIM(MID(SUBSTITUTE($B140,",",REPT(" ",100)),601,100))</x:f>
      </x:c>
      <x:c r="O140" s="2" t="str">
        <x:f>TRIM(MID(SUBSTITUTE($B140,",",REPT(" ",100)),701,100))</x:f>
      </x:c>
      <x:c r="P140" s="14" t="n">
        <x:f>IF(H140="",0,IF(COUNTIFS('Tasks'!$A$2:$A$224,H140)=1,INDEX('Tasks'!$M$2:$M$224,MATCH(H140,'Tasks'!$A$2:$A$224,0)),"BAD ID"))</x:f>
        <x:v>0</x:v>
      </x:c>
      <x:c r="Q140" s="14" t="n">
        <x:f>IF(I140="",0,IF(COUNTIFS('Tasks'!$A$2:$A$224,I140)=1,INDEX('Tasks'!$M$2:$M$224,MATCH(I140,'Tasks'!$A$2:$A$224,0)),"BAD ID"))</x:f>
        <x:v>0</x:v>
      </x:c>
      <x:c r="R140" s="14" t="n">
        <x:f>IF(J140="",0,IF(COUNTIFS('Tasks'!$A$2:$A$224,J140)=1,INDEX('Tasks'!$M$2:$M$224,MATCH(J140,'Tasks'!$A$2:$A$224,0)),"BAD ID"))</x:f>
        <x:v>0</x:v>
      </x:c>
      <x:c r="S140" s="14" t="n">
        <x:f>IF(K140="",0,IF(COUNTIFS('Tasks'!$A$2:$A$224,K140)=1,INDEX('Tasks'!$M$2:$M$224,MATCH(K140,'Tasks'!$A$2:$A$224,0)),"BAD ID"))</x:f>
        <x:v>0</x:v>
      </x:c>
      <x:c r="T140" s="14" t="n">
        <x:f>IF(L140="",0,IF(COUNTIFS('Tasks'!$A$2:$A$224,L140)=1,INDEX('Tasks'!$M$2:$M$224,MATCH(L140,'Tasks'!$A$2:$A$224,0)),"BAD ID"))</x:f>
        <x:v>0</x:v>
      </x:c>
      <x:c r="U140" s="14" t="n">
        <x:f>IF(M140="",0,IF(COUNTIFS('Tasks'!$A$2:$A$224,M140)=1,INDEX('Tasks'!$M$2:$M$224,MATCH(M140,'Tasks'!$A$2:$A$224,0)),"BAD ID"))</x:f>
        <x:v>0</x:v>
      </x:c>
      <x:c r="V140" s="14" t="n">
        <x:f>IF(N140="",0,IF(COUNTIFS('Tasks'!$A$2:$A$224,N140)=1,INDEX('Tasks'!$M$2:$M$224,MATCH(N140,'Tasks'!$A$2:$A$224,0)),"BAD ID"))</x:f>
        <x:v>0</x:v>
      </x:c>
      <x:c r="W140" s="14" t="n">
        <x:f>IF(O140="",0,IF(COUNTIFS('Tasks'!$A$2:$A$224,O140)=1,INDEX('Tasks'!$M$2:$M$224,MATCH(O140,'Tasks'!$A$2:$A$224,0)),"BAD ID"))</x:f>
        <x:v>0</x:v>
      </x:c>
    </x:row>
    <x:row r="141" ht="28" customHeight="1">
      <x:c r="A141" s="2" t="str">
        <x:v>IND-MOH-AI1</x:v>
      </x:c>
      <x:c r="B141" s="2" t="str">
        <x:f>IF(VLOOKUP(A141,'Tasks'!$A$2:$X$224,15,FALSE)="","",VLOOKUP(A141,'Tasks'!$A$2:$X$224,15,FALSE))</x:f>
      </x:c>
      <x:c r="C141" s="13" t="n">
        <x:f>VLOOKUP(A141,'Tasks'!$A$2:$X$224,12,FALSE)</x:f>
        <x:v>46313</x:v>
      </x:c>
      <x:c r="D141" s="2" t="n">
        <x:f>IF(B141="",0,LEN(B141)-LEN(SUBSTITUTE(B141,",",""))+1)</x:f>
        <x:v>0</x:v>
      </x:c>
      <x:c r="E141" s="14" t="n">
        <x:f>MAX(P141:W141)</x:f>
        <x:v>0</x:v>
      </x:c>
      <x:c r="F141" s="2" t="n">
        <x:f>COUNTIFS(P141:W141,"BAD ID")</x:f>
        <x:v>0</x:v>
      </x:c>
      <x:c r="G141" s="2" t="str">
        <x:f>IF(D141&gt;8,"TOO MANY",IF(F141&gt;0,"BAD ID",IF(C141&gt;=E141,"OK","LATE")))</x:f>
        <x:v>OK</x:v>
      </x:c>
      <x:c r="H141" s="2" t="str">
        <x:f>TRIM(MID(SUBSTITUTE($B141,",",REPT(" ",100)),1,100))</x:f>
      </x:c>
      <x:c r="I141" s="2" t="str">
        <x:f>TRIM(MID(SUBSTITUTE($B141,",",REPT(" ",100)),101,100))</x:f>
      </x:c>
      <x:c r="J141" s="2" t="str">
        <x:f>TRIM(MID(SUBSTITUTE($B141,",",REPT(" ",100)),201,100))</x:f>
      </x:c>
      <x:c r="K141" s="2" t="str">
        <x:f>TRIM(MID(SUBSTITUTE($B141,",",REPT(" ",100)),301,100))</x:f>
      </x:c>
      <x:c r="L141" s="2" t="str">
        <x:f>TRIM(MID(SUBSTITUTE($B141,",",REPT(" ",100)),401,100))</x:f>
      </x:c>
      <x:c r="M141" s="2" t="str">
        <x:f>TRIM(MID(SUBSTITUTE($B141,",",REPT(" ",100)),501,100))</x:f>
      </x:c>
      <x:c r="N141" s="2" t="str">
        <x:f>TRIM(MID(SUBSTITUTE($B141,",",REPT(" ",100)),601,100))</x:f>
      </x:c>
      <x:c r="O141" s="2" t="str">
        <x:f>TRIM(MID(SUBSTITUTE($B141,",",REPT(" ",100)),701,100))</x:f>
      </x:c>
      <x:c r="P141" s="14" t="n">
        <x:f>IF(H141="",0,IF(COUNTIFS('Tasks'!$A$2:$A$224,H141)=1,INDEX('Tasks'!$M$2:$M$224,MATCH(H141,'Tasks'!$A$2:$A$224,0)),"BAD ID"))</x:f>
        <x:v>0</x:v>
      </x:c>
      <x:c r="Q141" s="14" t="n">
        <x:f>IF(I141="",0,IF(COUNTIFS('Tasks'!$A$2:$A$224,I141)=1,INDEX('Tasks'!$M$2:$M$224,MATCH(I141,'Tasks'!$A$2:$A$224,0)),"BAD ID"))</x:f>
        <x:v>0</x:v>
      </x:c>
      <x:c r="R141" s="14" t="n">
        <x:f>IF(J141="",0,IF(COUNTIFS('Tasks'!$A$2:$A$224,J141)=1,INDEX('Tasks'!$M$2:$M$224,MATCH(J141,'Tasks'!$A$2:$A$224,0)),"BAD ID"))</x:f>
        <x:v>0</x:v>
      </x:c>
      <x:c r="S141" s="14" t="n">
        <x:f>IF(K141="",0,IF(COUNTIFS('Tasks'!$A$2:$A$224,K141)=1,INDEX('Tasks'!$M$2:$M$224,MATCH(K141,'Tasks'!$A$2:$A$224,0)),"BAD ID"))</x:f>
        <x:v>0</x:v>
      </x:c>
      <x:c r="T141" s="14" t="n">
        <x:f>IF(L141="",0,IF(COUNTIFS('Tasks'!$A$2:$A$224,L141)=1,INDEX('Tasks'!$M$2:$M$224,MATCH(L141,'Tasks'!$A$2:$A$224,0)),"BAD ID"))</x:f>
        <x:v>0</x:v>
      </x:c>
      <x:c r="U141" s="14" t="n">
        <x:f>IF(M141="",0,IF(COUNTIFS('Tasks'!$A$2:$A$224,M141)=1,INDEX('Tasks'!$M$2:$M$224,MATCH(M141,'Tasks'!$A$2:$A$224,0)),"BAD ID"))</x:f>
        <x:v>0</x:v>
      </x:c>
      <x:c r="V141" s="14" t="n">
        <x:f>IF(N141="",0,IF(COUNTIFS('Tasks'!$A$2:$A$224,N141)=1,INDEX('Tasks'!$M$2:$M$224,MATCH(N141,'Tasks'!$A$2:$A$224,0)),"BAD ID"))</x:f>
        <x:v>0</x:v>
      </x:c>
      <x:c r="W141" s="14" t="n">
        <x:f>IF(O141="",0,IF(COUNTIFS('Tasks'!$A$2:$A$224,O141)=1,INDEX('Tasks'!$M$2:$M$224,MATCH(O141,'Tasks'!$A$2:$A$224,0)),"BAD ID"))</x:f>
        <x:v>0</x:v>
      </x:c>
    </x:row>
    <x:row r="142" ht="28" customHeight="1">
      <x:c r="A142" s="2" t="str">
        <x:v>REV-MOH-2</x:v>
      </x:c>
      <x:c r="B142" s="2" t="str">
        <x:f>IF(VLOOKUP(A142,'Tasks'!$A$2:$X$224,15,FALSE)="","",VLOOKUP(A142,'Tasks'!$A$2:$X$224,15,FALSE))</x:f>
        <x:v>PROC-01</x:v>
      </x:c>
      <x:c r="C142" s="13" t="n">
        <x:f>VLOOKUP(A142,'Tasks'!$A$2:$X$224,12,FALSE)</x:f>
        <x:v>46314</x:v>
      </x:c>
      <x:c r="D142" s="2" t="n">
        <x:f>IF(B142="",0,LEN(B142)-LEN(SUBSTITUTE(B142,",",""))+1)</x:f>
        <x:v>1</x:v>
      </x:c>
      <x:c r="E142" s="14" t="n">
        <x:f>MAX(P142:W142)</x:f>
        <x:v>46307</x:v>
      </x:c>
      <x:c r="F142" s="2" t="n">
        <x:f>COUNTIFS(P142:W142,"BAD ID")</x:f>
        <x:v>0</x:v>
      </x:c>
      <x:c r="G142" s="2" t="str">
        <x:f>IF(D142&gt;8,"TOO MANY",IF(F142&gt;0,"BAD ID",IF(C142&gt;=E142,"OK","LATE")))</x:f>
        <x:v>OK</x:v>
      </x:c>
      <x:c r="H142" s="2" t="str">
        <x:f>TRIM(MID(SUBSTITUTE($B142,",",REPT(" ",100)),1,100))</x:f>
        <x:v>PROC-01</x:v>
      </x:c>
      <x:c r="I142" s="2" t="str">
        <x:f>TRIM(MID(SUBSTITUTE($B142,",",REPT(" ",100)),101,100))</x:f>
      </x:c>
      <x:c r="J142" s="2" t="str">
        <x:f>TRIM(MID(SUBSTITUTE($B142,",",REPT(" ",100)),201,100))</x:f>
      </x:c>
      <x:c r="K142" s="2" t="str">
        <x:f>TRIM(MID(SUBSTITUTE($B142,",",REPT(" ",100)),301,100))</x:f>
      </x:c>
      <x:c r="L142" s="2" t="str">
        <x:f>TRIM(MID(SUBSTITUTE($B142,",",REPT(" ",100)),401,100))</x:f>
      </x:c>
      <x:c r="M142" s="2" t="str">
        <x:f>TRIM(MID(SUBSTITUTE($B142,",",REPT(" ",100)),501,100))</x:f>
      </x:c>
      <x:c r="N142" s="2" t="str">
        <x:f>TRIM(MID(SUBSTITUTE($B142,",",REPT(" ",100)),601,100))</x:f>
      </x:c>
      <x:c r="O142" s="2" t="str">
        <x:f>TRIM(MID(SUBSTITUTE($B142,",",REPT(" ",100)),701,100))</x:f>
      </x:c>
      <x:c r="P142" s="14" t="n">
        <x:f>IF(H142="",0,IF(COUNTIFS('Tasks'!$A$2:$A$224,H142)=1,INDEX('Tasks'!$M$2:$M$224,MATCH(H142,'Tasks'!$A$2:$A$224,0)),"BAD ID"))</x:f>
        <x:v>46307</x:v>
      </x:c>
      <x:c r="Q142" s="14" t="n">
        <x:f>IF(I142="",0,IF(COUNTIFS('Tasks'!$A$2:$A$224,I142)=1,INDEX('Tasks'!$M$2:$M$224,MATCH(I142,'Tasks'!$A$2:$A$224,0)),"BAD ID"))</x:f>
        <x:v>0</x:v>
      </x:c>
      <x:c r="R142" s="14" t="n">
        <x:f>IF(J142="",0,IF(COUNTIFS('Tasks'!$A$2:$A$224,J142)=1,INDEX('Tasks'!$M$2:$M$224,MATCH(J142,'Tasks'!$A$2:$A$224,0)),"BAD ID"))</x:f>
        <x:v>0</x:v>
      </x:c>
      <x:c r="S142" s="14" t="n">
        <x:f>IF(K142="",0,IF(COUNTIFS('Tasks'!$A$2:$A$224,K142)=1,INDEX('Tasks'!$M$2:$M$224,MATCH(K142,'Tasks'!$A$2:$A$224,0)),"BAD ID"))</x:f>
        <x:v>0</x:v>
      </x:c>
      <x:c r="T142" s="14" t="n">
        <x:f>IF(L142="",0,IF(COUNTIFS('Tasks'!$A$2:$A$224,L142)=1,INDEX('Tasks'!$M$2:$M$224,MATCH(L142,'Tasks'!$A$2:$A$224,0)),"BAD ID"))</x:f>
        <x:v>0</x:v>
      </x:c>
      <x:c r="U142" s="14" t="n">
        <x:f>IF(M142="",0,IF(COUNTIFS('Tasks'!$A$2:$A$224,M142)=1,INDEX('Tasks'!$M$2:$M$224,MATCH(M142,'Tasks'!$A$2:$A$224,0)),"BAD ID"))</x:f>
        <x:v>0</x:v>
      </x:c>
      <x:c r="V142" s="14" t="n">
        <x:f>IF(N142="",0,IF(COUNTIFS('Tasks'!$A$2:$A$224,N142)=1,INDEX('Tasks'!$M$2:$M$224,MATCH(N142,'Tasks'!$A$2:$A$224,0)),"BAD ID"))</x:f>
        <x:v>0</x:v>
      </x:c>
      <x:c r="W142" s="14" t="n">
        <x:f>IF(O142="",0,IF(COUNTIFS('Tasks'!$A$2:$A$224,O142)=1,INDEX('Tasks'!$M$2:$M$224,MATCH(O142,'Tasks'!$A$2:$A$224,0)),"BAD ID"))</x:f>
        <x:v>0</x:v>
      </x:c>
    </x:row>
    <x:row r="143" ht="28" customHeight="1">
      <x:c r="A143" s="2" t="str">
        <x:v>COM-MOH-2</x:v>
      </x:c>
      <x:c r="B143" s="2" t="str">
        <x:f>IF(VLOOKUP(A143,'Tasks'!$A$2:$X$224,15,FALSE)="","",VLOOKUP(A143,'Tasks'!$A$2:$X$224,15,FALSE))</x:f>
      </x:c>
      <x:c r="C143" s="13" t="n">
        <x:f>VLOOKUP(A143,'Tasks'!$A$2:$X$224,12,FALSE)</x:f>
        <x:v>46314</x:v>
      </x:c>
      <x:c r="D143" s="2" t="n">
        <x:f>IF(B143="",0,LEN(B143)-LEN(SUBSTITUTE(B143,",",""))+1)</x:f>
        <x:v>0</x:v>
      </x:c>
      <x:c r="E143" s="14" t="n">
        <x:f>MAX(P143:W143)</x:f>
        <x:v>0</x:v>
      </x:c>
      <x:c r="F143" s="2" t="n">
        <x:f>COUNTIFS(P143:W143,"BAD ID")</x:f>
        <x:v>0</x:v>
      </x:c>
      <x:c r="G143" s="2" t="str">
        <x:f>IF(D143&gt;8,"TOO MANY",IF(F143&gt;0,"BAD ID",IF(C143&gt;=E143,"OK","LATE")))</x:f>
        <x:v>OK</x:v>
      </x:c>
      <x:c r="H143" s="2" t="str">
        <x:f>TRIM(MID(SUBSTITUTE($B143,",",REPT(" ",100)),1,100))</x:f>
      </x:c>
      <x:c r="I143" s="2" t="str">
        <x:f>TRIM(MID(SUBSTITUTE($B143,",",REPT(" ",100)),101,100))</x:f>
      </x:c>
      <x:c r="J143" s="2" t="str">
        <x:f>TRIM(MID(SUBSTITUTE($B143,",",REPT(" ",100)),201,100))</x:f>
      </x:c>
      <x:c r="K143" s="2" t="str">
        <x:f>TRIM(MID(SUBSTITUTE($B143,",",REPT(" ",100)),301,100))</x:f>
      </x:c>
      <x:c r="L143" s="2" t="str">
        <x:f>TRIM(MID(SUBSTITUTE($B143,",",REPT(" ",100)),401,100))</x:f>
      </x:c>
      <x:c r="M143" s="2" t="str">
        <x:f>TRIM(MID(SUBSTITUTE($B143,",",REPT(" ",100)),501,100))</x:f>
      </x:c>
      <x:c r="N143" s="2" t="str">
        <x:f>TRIM(MID(SUBSTITUTE($B143,",",REPT(" ",100)),601,100))</x:f>
      </x:c>
      <x:c r="O143" s="2" t="str">
        <x:f>TRIM(MID(SUBSTITUTE($B143,",",REPT(" ",100)),701,100))</x:f>
      </x:c>
      <x:c r="P143" s="14" t="n">
        <x:f>IF(H143="",0,IF(COUNTIFS('Tasks'!$A$2:$A$224,H143)=1,INDEX('Tasks'!$M$2:$M$224,MATCH(H143,'Tasks'!$A$2:$A$224,0)),"BAD ID"))</x:f>
        <x:v>0</x:v>
      </x:c>
      <x:c r="Q143" s="14" t="n">
        <x:f>IF(I143="",0,IF(COUNTIFS('Tasks'!$A$2:$A$224,I143)=1,INDEX('Tasks'!$M$2:$M$224,MATCH(I143,'Tasks'!$A$2:$A$224,0)),"BAD ID"))</x:f>
        <x:v>0</x:v>
      </x:c>
      <x:c r="R143" s="14" t="n">
        <x:f>IF(J143="",0,IF(COUNTIFS('Tasks'!$A$2:$A$224,J143)=1,INDEX('Tasks'!$M$2:$M$224,MATCH(J143,'Tasks'!$A$2:$A$224,0)),"BAD ID"))</x:f>
        <x:v>0</x:v>
      </x:c>
      <x:c r="S143" s="14" t="n">
        <x:f>IF(K143="",0,IF(COUNTIFS('Tasks'!$A$2:$A$224,K143)=1,INDEX('Tasks'!$M$2:$M$224,MATCH(K143,'Tasks'!$A$2:$A$224,0)),"BAD ID"))</x:f>
        <x:v>0</x:v>
      </x:c>
      <x:c r="T143" s="14" t="n">
        <x:f>IF(L143="",0,IF(COUNTIFS('Tasks'!$A$2:$A$224,L143)=1,INDEX('Tasks'!$M$2:$M$224,MATCH(L143,'Tasks'!$A$2:$A$224,0)),"BAD ID"))</x:f>
        <x:v>0</x:v>
      </x:c>
      <x:c r="U143" s="14" t="n">
        <x:f>IF(M143="",0,IF(COUNTIFS('Tasks'!$A$2:$A$224,M143)=1,INDEX('Tasks'!$M$2:$M$224,MATCH(M143,'Tasks'!$A$2:$A$224,0)),"BAD ID"))</x:f>
        <x:v>0</x:v>
      </x:c>
      <x:c r="V143" s="14" t="n">
        <x:f>IF(N143="",0,IF(COUNTIFS('Tasks'!$A$2:$A$224,N143)=1,INDEX('Tasks'!$M$2:$M$224,MATCH(N143,'Tasks'!$A$2:$A$224,0)),"BAD ID"))</x:f>
        <x:v>0</x:v>
      </x:c>
      <x:c r="W143" s="14" t="n">
        <x:f>IF(O143="",0,IF(COUNTIFS('Tasks'!$A$2:$A$224,O143)=1,INDEX('Tasks'!$M$2:$M$224,MATCH(O143,'Tasks'!$A$2:$A$224,0)),"BAD ID"))</x:f>
        <x:v>0</x:v>
      </x:c>
    </x:row>
    <x:row r="144" ht="28" customHeight="1">
      <x:c r="A144" s="2" t="str">
        <x:v>IND-MOH-AI2</x:v>
      </x:c>
      <x:c r="B144" s="2" t="str">
        <x:f>IF(VLOOKUP(A144,'Tasks'!$A$2:$X$224,15,FALSE)="","",VLOOKUP(A144,'Tasks'!$A$2:$X$224,15,FALSE))</x:f>
      </x:c>
      <x:c r="C144" s="13" t="n">
        <x:f>VLOOKUP(A144,'Tasks'!$A$2:$X$224,12,FALSE)</x:f>
        <x:v>46320</x:v>
      </x:c>
      <x:c r="D144" s="2" t="n">
        <x:f>IF(B144="",0,LEN(B144)-LEN(SUBSTITUTE(B144,",",""))+1)</x:f>
        <x:v>0</x:v>
      </x:c>
      <x:c r="E144" s="14" t="n">
        <x:f>MAX(P144:W144)</x:f>
        <x:v>0</x:v>
      </x:c>
      <x:c r="F144" s="2" t="n">
        <x:f>COUNTIFS(P144:W144,"BAD ID")</x:f>
        <x:v>0</x:v>
      </x:c>
      <x:c r="G144" s="2" t="str">
        <x:f>IF(D144&gt;8,"TOO MANY",IF(F144&gt;0,"BAD ID",IF(C144&gt;=E144,"OK","LATE")))</x:f>
        <x:v>OK</x:v>
      </x:c>
      <x:c r="H144" s="2" t="str">
        <x:f>TRIM(MID(SUBSTITUTE($B144,",",REPT(" ",100)),1,100))</x:f>
      </x:c>
      <x:c r="I144" s="2" t="str">
        <x:f>TRIM(MID(SUBSTITUTE($B144,",",REPT(" ",100)),101,100))</x:f>
      </x:c>
      <x:c r="J144" s="2" t="str">
        <x:f>TRIM(MID(SUBSTITUTE($B144,",",REPT(" ",100)),201,100))</x:f>
      </x:c>
      <x:c r="K144" s="2" t="str">
        <x:f>TRIM(MID(SUBSTITUTE($B144,",",REPT(" ",100)),301,100))</x:f>
      </x:c>
      <x:c r="L144" s="2" t="str">
        <x:f>TRIM(MID(SUBSTITUTE($B144,",",REPT(" ",100)),401,100))</x:f>
      </x:c>
      <x:c r="M144" s="2" t="str">
        <x:f>TRIM(MID(SUBSTITUTE($B144,",",REPT(" ",100)),501,100))</x:f>
      </x:c>
      <x:c r="N144" s="2" t="str">
        <x:f>TRIM(MID(SUBSTITUTE($B144,",",REPT(" ",100)),601,100))</x:f>
      </x:c>
      <x:c r="O144" s="2" t="str">
        <x:f>TRIM(MID(SUBSTITUTE($B144,",",REPT(" ",100)),701,100))</x:f>
      </x:c>
      <x:c r="P144" s="14" t="n">
        <x:f>IF(H144="",0,IF(COUNTIFS('Tasks'!$A$2:$A$224,H144)=1,INDEX('Tasks'!$M$2:$M$224,MATCH(H144,'Tasks'!$A$2:$A$224,0)),"BAD ID"))</x:f>
        <x:v>0</x:v>
      </x:c>
      <x:c r="Q144" s="14" t="n">
        <x:f>IF(I144="",0,IF(COUNTIFS('Tasks'!$A$2:$A$224,I144)=1,INDEX('Tasks'!$M$2:$M$224,MATCH(I144,'Tasks'!$A$2:$A$224,0)),"BAD ID"))</x:f>
        <x:v>0</x:v>
      </x:c>
      <x:c r="R144" s="14" t="n">
        <x:f>IF(J144="",0,IF(COUNTIFS('Tasks'!$A$2:$A$224,J144)=1,INDEX('Tasks'!$M$2:$M$224,MATCH(J144,'Tasks'!$A$2:$A$224,0)),"BAD ID"))</x:f>
        <x:v>0</x:v>
      </x:c>
      <x:c r="S144" s="14" t="n">
        <x:f>IF(K144="",0,IF(COUNTIFS('Tasks'!$A$2:$A$224,K144)=1,INDEX('Tasks'!$M$2:$M$224,MATCH(K144,'Tasks'!$A$2:$A$224,0)),"BAD ID"))</x:f>
        <x:v>0</x:v>
      </x:c>
      <x:c r="T144" s="14" t="n">
        <x:f>IF(L144="",0,IF(COUNTIFS('Tasks'!$A$2:$A$224,L144)=1,INDEX('Tasks'!$M$2:$M$224,MATCH(L144,'Tasks'!$A$2:$A$224,0)),"BAD ID"))</x:f>
        <x:v>0</x:v>
      </x:c>
      <x:c r="U144" s="14" t="n">
        <x:f>IF(M144="",0,IF(COUNTIFS('Tasks'!$A$2:$A$224,M144)=1,INDEX('Tasks'!$M$2:$M$224,MATCH(M144,'Tasks'!$A$2:$A$224,0)),"BAD ID"))</x:f>
        <x:v>0</x:v>
      </x:c>
      <x:c r="V144" s="14" t="n">
        <x:f>IF(N144="",0,IF(COUNTIFS('Tasks'!$A$2:$A$224,N144)=1,INDEX('Tasks'!$M$2:$M$224,MATCH(N144,'Tasks'!$A$2:$A$224,0)),"BAD ID"))</x:f>
        <x:v>0</x:v>
      </x:c>
      <x:c r="W144" s="14" t="n">
        <x:f>IF(O144="",0,IF(COUNTIFS('Tasks'!$A$2:$A$224,O144)=1,INDEX('Tasks'!$M$2:$M$224,MATCH(O144,'Tasks'!$A$2:$A$224,0)),"BAD ID"))</x:f>
        <x:v>0</x:v>
      </x:c>
    </x:row>
    <x:row r="145" ht="28" customHeight="1">
      <x:c r="A145" s="2" t="str">
        <x:v>REV-MOH-3</x:v>
      </x:c>
      <x:c r="B145" s="2" t="str">
        <x:f>IF(VLOOKUP(A145,'Tasks'!$A$2:$X$224,15,FALSE)="","",VLOOKUP(A145,'Tasks'!$A$2:$X$224,15,FALSE))</x:f>
        <x:v>PROC-01</x:v>
      </x:c>
      <x:c r="C145" s="13" t="n">
        <x:f>VLOOKUP(A145,'Tasks'!$A$2:$X$224,12,FALSE)</x:f>
        <x:v>46321</x:v>
      </x:c>
      <x:c r="D145" s="2" t="n">
        <x:f>IF(B145="",0,LEN(B145)-LEN(SUBSTITUTE(B145,",",""))+1)</x:f>
        <x:v>1</x:v>
      </x:c>
      <x:c r="E145" s="14" t="n">
        <x:f>MAX(P145:W145)</x:f>
        <x:v>46307</x:v>
      </x:c>
      <x:c r="F145" s="2" t="n">
        <x:f>COUNTIFS(P145:W145,"BAD ID")</x:f>
        <x:v>0</x:v>
      </x:c>
      <x:c r="G145" s="2" t="str">
        <x:f>IF(D145&gt;8,"TOO MANY",IF(F145&gt;0,"BAD ID",IF(C145&gt;=E145,"OK","LATE")))</x:f>
        <x:v>OK</x:v>
      </x:c>
      <x:c r="H145" s="2" t="str">
        <x:f>TRIM(MID(SUBSTITUTE($B145,",",REPT(" ",100)),1,100))</x:f>
        <x:v>PROC-01</x:v>
      </x:c>
      <x:c r="I145" s="2" t="str">
        <x:f>TRIM(MID(SUBSTITUTE($B145,",",REPT(" ",100)),101,100))</x:f>
      </x:c>
      <x:c r="J145" s="2" t="str">
        <x:f>TRIM(MID(SUBSTITUTE($B145,",",REPT(" ",100)),201,100))</x:f>
      </x:c>
      <x:c r="K145" s="2" t="str">
        <x:f>TRIM(MID(SUBSTITUTE($B145,",",REPT(" ",100)),301,100))</x:f>
      </x:c>
      <x:c r="L145" s="2" t="str">
        <x:f>TRIM(MID(SUBSTITUTE($B145,",",REPT(" ",100)),401,100))</x:f>
      </x:c>
      <x:c r="M145" s="2" t="str">
        <x:f>TRIM(MID(SUBSTITUTE($B145,",",REPT(" ",100)),501,100))</x:f>
      </x:c>
      <x:c r="N145" s="2" t="str">
        <x:f>TRIM(MID(SUBSTITUTE($B145,",",REPT(" ",100)),601,100))</x:f>
      </x:c>
      <x:c r="O145" s="2" t="str">
        <x:f>TRIM(MID(SUBSTITUTE($B145,",",REPT(" ",100)),701,100))</x:f>
      </x:c>
      <x:c r="P145" s="14" t="n">
        <x:f>IF(H145="",0,IF(COUNTIFS('Tasks'!$A$2:$A$224,H145)=1,INDEX('Tasks'!$M$2:$M$224,MATCH(H145,'Tasks'!$A$2:$A$224,0)),"BAD ID"))</x:f>
        <x:v>46307</x:v>
      </x:c>
      <x:c r="Q145" s="14" t="n">
        <x:f>IF(I145="",0,IF(COUNTIFS('Tasks'!$A$2:$A$224,I145)=1,INDEX('Tasks'!$M$2:$M$224,MATCH(I145,'Tasks'!$A$2:$A$224,0)),"BAD ID"))</x:f>
        <x:v>0</x:v>
      </x:c>
      <x:c r="R145" s="14" t="n">
        <x:f>IF(J145="",0,IF(COUNTIFS('Tasks'!$A$2:$A$224,J145)=1,INDEX('Tasks'!$M$2:$M$224,MATCH(J145,'Tasks'!$A$2:$A$224,0)),"BAD ID"))</x:f>
        <x:v>0</x:v>
      </x:c>
      <x:c r="S145" s="14" t="n">
        <x:f>IF(K145="",0,IF(COUNTIFS('Tasks'!$A$2:$A$224,K145)=1,INDEX('Tasks'!$M$2:$M$224,MATCH(K145,'Tasks'!$A$2:$A$224,0)),"BAD ID"))</x:f>
        <x:v>0</x:v>
      </x:c>
      <x:c r="T145" s="14" t="n">
        <x:f>IF(L145="",0,IF(COUNTIFS('Tasks'!$A$2:$A$224,L145)=1,INDEX('Tasks'!$M$2:$M$224,MATCH(L145,'Tasks'!$A$2:$A$224,0)),"BAD ID"))</x:f>
        <x:v>0</x:v>
      </x:c>
      <x:c r="U145" s="14" t="n">
        <x:f>IF(M145="",0,IF(COUNTIFS('Tasks'!$A$2:$A$224,M145)=1,INDEX('Tasks'!$M$2:$M$224,MATCH(M145,'Tasks'!$A$2:$A$224,0)),"BAD ID"))</x:f>
        <x:v>0</x:v>
      </x:c>
      <x:c r="V145" s="14" t="n">
        <x:f>IF(N145="",0,IF(COUNTIFS('Tasks'!$A$2:$A$224,N145)=1,INDEX('Tasks'!$M$2:$M$224,MATCH(N145,'Tasks'!$A$2:$A$224,0)),"BAD ID"))</x:f>
        <x:v>0</x:v>
      </x:c>
      <x:c r="W145" s="14" t="n">
        <x:f>IF(O145="",0,IF(COUNTIFS('Tasks'!$A$2:$A$224,O145)=1,INDEX('Tasks'!$M$2:$M$224,MATCH(O145,'Tasks'!$A$2:$A$224,0)),"BAD ID"))</x:f>
        <x:v>0</x:v>
      </x:c>
    </x:row>
    <x:row r="146" ht="28" customHeight="1">
      <x:c r="A146" s="2" t="str">
        <x:v>COM-MOH-3</x:v>
      </x:c>
      <x:c r="B146" s="2" t="str">
        <x:f>IF(VLOOKUP(A146,'Tasks'!$A$2:$X$224,15,FALSE)="","",VLOOKUP(A146,'Tasks'!$A$2:$X$224,15,FALSE))</x:f>
      </x:c>
      <x:c r="C146" s="13" t="n">
        <x:f>VLOOKUP(A146,'Tasks'!$A$2:$X$224,12,FALSE)</x:f>
        <x:v>46321</x:v>
      </x:c>
      <x:c r="D146" s="2" t="n">
        <x:f>IF(B146="",0,LEN(B146)-LEN(SUBSTITUTE(B146,",",""))+1)</x:f>
        <x:v>0</x:v>
      </x:c>
      <x:c r="E146" s="14" t="n">
        <x:f>MAX(P146:W146)</x:f>
        <x:v>0</x:v>
      </x:c>
      <x:c r="F146" s="2" t="n">
        <x:f>COUNTIFS(P146:W146,"BAD ID")</x:f>
        <x:v>0</x:v>
      </x:c>
      <x:c r="G146" s="2" t="str">
        <x:f>IF(D146&gt;8,"TOO MANY",IF(F146&gt;0,"BAD ID",IF(C146&gt;=E146,"OK","LATE")))</x:f>
        <x:v>OK</x:v>
      </x:c>
      <x:c r="H146" s="2" t="str">
        <x:f>TRIM(MID(SUBSTITUTE($B146,",",REPT(" ",100)),1,100))</x:f>
      </x:c>
      <x:c r="I146" s="2" t="str">
        <x:f>TRIM(MID(SUBSTITUTE($B146,",",REPT(" ",100)),101,100))</x:f>
      </x:c>
      <x:c r="J146" s="2" t="str">
        <x:f>TRIM(MID(SUBSTITUTE($B146,",",REPT(" ",100)),201,100))</x:f>
      </x:c>
      <x:c r="K146" s="2" t="str">
        <x:f>TRIM(MID(SUBSTITUTE($B146,",",REPT(" ",100)),301,100))</x:f>
      </x:c>
      <x:c r="L146" s="2" t="str">
        <x:f>TRIM(MID(SUBSTITUTE($B146,",",REPT(" ",100)),401,100))</x:f>
      </x:c>
      <x:c r="M146" s="2" t="str">
        <x:f>TRIM(MID(SUBSTITUTE($B146,",",REPT(" ",100)),501,100))</x:f>
      </x:c>
      <x:c r="N146" s="2" t="str">
        <x:f>TRIM(MID(SUBSTITUTE($B146,",",REPT(" ",100)),601,100))</x:f>
      </x:c>
      <x:c r="O146" s="2" t="str">
        <x:f>TRIM(MID(SUBSTITUTE($B146,",",REPT(" ",100)),701,100))</x:f>
      </x:c>
      <x:c r="P146" s="14" t="n">
        <x:f>IF(H146="",0,IF(COUNTIFS('Tasks'!$A$2:$A$224,H146)=1,INDEX('Tasks'!$M$2:$M$224,MATCH(H146,'Tasks'!$A$2:$A$224,0)),"BAD ID"))</x:f>
        <x:v>0</x:v>
      </x:c>
      <x:c r="Q146" s="14" t="n">
        <x:f>IF(I146="",0,IF(COUNTIFS('Tasks'!$A$2:$A$224,I146)=1,INDEX('Tasks'!$M$2:$M$224,MATCH(I146,'Tasks'!$A$2:$A$224,0)),"BAD ID"))</x:f>
        <x:v>0</x:v>
      </x:c>
      <x:c r="R146" s="14" t="n">
        <x:f>IF(J146="",0,IF(COUNTIFS('Tasks'!$A$2:$A$224,J146)=1,INDEX('Tasks'!$M$2:$M$224,MATCH(J146,'Tasks'!$A$2:$A$224,0)),"BAD ID"))</x:f>
        <x:v>0</x:v>
      </x:c>
      <x:c r="S146" s="14" t="n">
        <x:f>IF(K146="",0,IF(COUNTIFS('Tasks'!$A$2:$A$224,K146)=1,INDEX('Tasks'!$M$2:$M$224,MATCH(K146,'Tasks'!$A$2:$A$224,0)),"BAD ID"))</x:f>
        <x:v>0</x:v>
      </x:c>
      <x:c r="T146" s="14" t="n">
        <x:f>IF(L146="",0,IF(COUNTIFS('Tasks'!$A$2:$A$224,L146)=1,INDEX('Tasks'!$M$2:$M$224,MATCH(L146,'Tasks'!$A$2:$A$224,0)),"BAD ID"))</x:f>
        <x:v>0</x:v>
      </x:c>
      <x:c r="U146" s="14" t="n">
        <x:f>IF(M146="",0,IF(COUNTIFS('Tasks'!$A$2:$A$224,M146)=1,INDEX('Tasks'!$M$2:$M$224,MATCH(M146,'Tasks'!$A$2:$A$224,0)),"BAD ID"))</x:f>
        <x:v>0</x:v>
      </x:c>
      <x:c r="V146" s="14" t="n">
        <x:f>IF(N146="",0,IF(COUNTIFS('Tasks'!$A$2:$A$224,N146)=1,INDEX('Tasks'!$M$2:$M$224,MATCH(N146,'Tasks'!$A$2:$A$224,0)),"BAD ID"))</x:f>
        <x:v>0</x:v>
      </x:c>
      <x:c r="W146" s="14" t="n">
        <x:f>IF(O146="",0,IF(COUNTIFS('Tasks'!$A$2:$A$224,O146)=1,INDEX('Tasks'!$M$2:$M$224,MATCH(O146,'Tasks'!$A$2:$A$224,0)),"BAD ID"))</x:f>
        <x:v>0</x:v>
      </x:c>
    </x:row>
    <x:row r="147" ht="28" customHeight="1">
      <x:c r="A147" s="2" t="str">
        <x:v>IND-MOH-AI3</x:v>
      </x:c>
      <x:c r="B147" s="2" t="str">
        <x:f>IF(VLOOKUP(A147,'Tasks'!$A$2:$X$224,15,FALSE)="","",VLOOKUP(A147,'Tasks'!$A$2:$X$224,15,FALSE))</x:f>
      </x:c>
      <x:c r="C147" s="13" t="n">
        <x:f>VLOOKUP(A147,'Tasks'!$A$2:$X$224,12,FALSE)</x:f>
        <x:v>46326</x:v>
      </x:c>
      <x:c r="D147" s="2" t="n">
        <x:f>IF(B147="",0,LEN(B147)-LEN(SUBSTITUTE(B147,",",""))+1)</x:f>
        <x:v>0</x:v>
      </x:c>
      <x:c r="E147" s="14" t="n">
        <x:f>MAX(P147:W147)</x:f>
        <x:v>0</x:v>
      </x:c>
      <x:c r="F147" s="2" t="n">
        <x:f>COUNTIFS(P147:W147,"BAD ID")</x:f>
        <x:v>0</x:v>
      </x:c>
      <x:c r="G147" s="2" t="str">
        <x:f>IF(D147&gt;8,"TOO MANY",IF(F147&gt;0,"BAD ID",IF(C147&gt;=E147,"OK","LATE")))</x:f>
        <x:v>OK</x:v>
      </x:c>
      <x:c r="H147" s="2" t="str">
        <x:f>TRIM(MID(SUBSTITUTE($B147,",",REPT(" ",100)),1,100))</x:f>
      </x:c>
      <x:c r="I147" s="2" t="str">
        <x:f>TRIM(MID(SUBSTITUTE($B147,",",REPT(" ",100)),101,100))</x:f>
      </x:c>
      <x:c r="J147" s="2" t="str">
        <x:f>TRIM(MID(SUBSTITUTE($B147,",",REPT(" ",100)),201,100))</x:f>
      </x:c>
      <x:c r="K147" s="2" t="str">
        <x:f>TRIM(MID(SUBSTITUTE($B147,",",REPT(" ",100)),301,100))</x:f>
      </x:c>
      <x:c r="L147" s="2" t="str">
        <x:f>TRIM(MID(SUBSTITUTE($B147,",",REPT(" ",100)),401,100))</x:f>
      </x:c>
      <x:c r="M147" s="2" t="str">
        <x:f>TRIM(MID(SUBSTITUTE($B147,",",REPT(" ",100)),501,100))</x:f>
      </x:c>
      <x:c r="N147" s="2" t="str">
        <x:f>TRIM(MID(SUBSTITUTE($B147,",",REPT(" ",100)),601,100))</x:f>
      </x:c>
      <x:c r="O147" s="2" t="str">
        <x:f>TRIM(MID(SUBSTITUTE($B147,",",REPT(" ",100)),701,100))</x:f>
      </x:c>
      <x:c r="P147" s="14" t="n">
        <x:f>IF(H147="",0,IF(COUNTIFS('Tasks'!$A$2:$A$224,H147)=1,INDEX('Tasks'!$M$2:$M$224,MATCH(H147,'Tasks'!$A$2:$A$224,0)),"BAD ID"))</x:f>
        <x:v>0</x:v>
      </x:c>
      <x:c r="Q147" s="14" t="n">
        <x:f>IF(I147="",0,IF(COUNTIFS('Tasks'!$A$2:$A$224,I147)=1,INDEX('Tasks'!$M$2:$M$224,MATCH(I147,'Tasks'!$A$2:$A$224,0)),"BAD ID"))</x:f>
        <x:v>0</x:v>
      </x:c>
      <x:c r="R147" s="14" t="n">
        <x:f>IF(J147="",0,IF(COUNTIFS('Tasks'!$A$2:$A$224,J147)=1,INDEX('Tasks'!$M$2:$M$224,MATCH(J147,'Tasks'!$A$2:$A$224,0)),"BAD ID"))</x:f>
        <x:v>0</x:v>
      </x:c>
      <x:c r="S147" s="14" t="n">
        <x:f>IF(K147="",0,IF(COUNTIFS('Tasks'!$A$2:$A$224,K147)=1,INDEX('Tasks'!$M$2:$M$224,MATCH(K147,'Tasks'!$A$2:$A$224,0)),"BAD ID"))</x:f>
        <x:v>0</x:v>
      </x:c>
      <x:c r="T147" s="14" t="n">
        <x:f>IF(L147="",0,IF(COUNTIFS('Tasks'!$A$2:$A$224,L147)=1,INDEX('Tasks'!$M$2:$M$224,MATCH(L147,'Tasks'!$A$2:$A$224,0)),"BAD ID"))</x:f>
        <x:v>0</x:v>
      </x:c>
      <x:c r="U147" s="14" t="n">
        <x:f>IF(M147="",0,IF(COUNTIFS('Tasks'!$A$2:$A$224,M147)=1,INDEX('Tasks'!$M$2:$M$224,MATCH(M147,'Tasks'!$A$2:$A$224,0)),"BAD ID"))</x:f>
        <x:v>0</x:v>
      </x:c>
      <x:c r="V147" s="14" t="n">
        <x:f>IF(N147="",0,IF(COUNTIFS('Tasks'!$A$2:$A$224,N147)=1,INDEX('Tasks'!$M$2:$M$224,MATCH(N147,'Tasks'!$A$2:$A$224,0)),"BAD ID"))</x:f>
        <x:v>0</x:v>
      </x:c>
      <x:c r="W147" s="14" t="n">
        <x:f>IF(O147="",0,IF(COUNTIFS('Tasks'!$A$2:$A$224,O147)=1,INDEX('Tasks'!$M$2:$M$224,MATCH(O147,'Tasks'!$A$2:$A$224,0)),"BAD ID"))</x:f>
        <x:v>0</x:v>
      </x:c>
    </x:row>
    <x:row r="148" ht="28" customHeight="1">
      <x:c r="A148" s="2" t="str">
        <x:v>IND-MOH-REF</x:v>
      </x:c>
      <x:c r="B148" s="2" t="str">
        <x:f>IF(VLOOKUP(A148,'Tasks'!$A$2:$X$224,15,FALSE)="","",VLOOKUP(A148,'Tasks'!$A$2:$X$224,15,FALSE))</x:f>
      </x:c>
      <x:c r="C148" s="13" t="n">
        <x:f>VLOOKUP(A148,'Tasks'!$A$2:$X$224,12,FALSE)</x:f>
        <x:v>46325</x:v>
      </x:c>
      <x:c r="D148" s="2" t="n">
        <x:f>IF(B148="",0,LEN(B148)-LEN(SUBSTITUTE(B148,",",""))+1)</x:f>
        <x:v>0</x:v>
      </x:c>
      <x:c r="E148" s="14" t="n">
        <x:f>MAX(P148:W148)</x:f>
        <x:v>0</x:v>
      </x:c>
      <x:c r="F148" s="2" t="n">
        <x:f>COUNTIFS(P148:W148,"BAD ID")</x:f>
        <x:v>0</x:v>
      </x:c>
      <x:c r="G148" s="2" t="str">
        <x:f>IF(D148&gt;8,"TOO MANY",IF(F148&gt;0,"BAD ID",IF(C148&gt;=E148,"OK","LATE")))</x:f>
        <x:v>OK</x:v>
      </x:c>
      <x:c r="H148" s="2" t="str">
        <x:f>TRIM(MID(SUBSTITUTE($B148,",",REPT(" ",100)),1,100))</x:f>
      </x:c>
      <x:c r="I148" s="2" t="str">
        <x:f>TRIM(MID(SUBSTITUTE($B148,",",REPT(" ",100)),101,100))</x:f>
      </x:c>
      <x:c r="J148" s="2" t="str">
        <x:f>TRIM(MID(SUBSTITUTE($B148,",",REPT(" ",100)),201,100))</x:f>
      </x:c>
      <x:c r="K148" s="2" t="str">
        <x:f>TRIM(MID(SUBSTITUTE($B148,",",REPT(" ",100)),301,100))</x:f>
      </x:c>
      <x:c r="L148" s="2" t="str">
        <x:f>TRIM(MID(SUBSTITUTE($B148,",",REPT(" ",100)),401,100))</x:f>
      </x:c>
      <x:c r="M148" s="2" t="str">
        <x:f>TRIM(MID(SUBSTITUTE($B148,",",REPT(" ",100)),501,100))</x:f>
      </x:c>
      <x:c r="N148" s="2" t="str">
        <x:f>TRIM(MID(SUBSTITUTE($B148,",",REPT(" ",100)),601,100))</x:f>
      </x:c>
      <x:c r="O148" s="2" t="str">
        <x:f>TRIM(MID(SUBSTITUTE($B148,",",REPT(" ",100)),701,100))</x:f>
      </x:c>
      <x:c r="P148" s="14" t="n">
        <x:f>IF(H148="",0,IF(COUNTIFS('Tasks'!$A$2:$A$224,H148)=1,INDEX('Tasks'!$M$2:$M$224,MATCH(H148,'Tasks'!$A$2:$A$224,0)),"BAD ID"))</x:f>
        <x:v>0</x:v>
      </x:c>
      <x:c r="Q148" s="14" t="n">
        <x:f>IF(I148="",0,IF(COUNTIFS('Tasks'!$A$2:$A$224,I148)=1,INDEX('Tasks'!$M$2:$M$224,MATCH(I148,'Tasks'!$A$2:$A$224,0)),"BAD ID"))</x:f>
        <x:v>0</x:v>
      </x:c>
      <x:c r="R148" s="14" t="n">
        <x:f>IF(J148="",0,IF(COUNTIFS('Tasks'!$A$2:$A$224,J148)=1,INDEX('Tasks'!$M$2:$M$224,MATCH(J148,'Tasks'!$A$2:$A$224,0)),"BAD ID"))</x:f>
        <x:v>0</x:v>
      </x:c>
      <x:c r="S148" s="14" t="n">
        <x:f>IF(K148="",0,IF(COUNTIFS('Tasks'!$A$2:$A$224,K148)=1,INDEX('Tasks'!$M$2:$M$224,MATCH(K148,'Tasks'!$A$2:$A$224,0)),"BAD ID"))</x:f>
        <x:v>0</x:v>
      </x:c>
      <x:c r="T148" s="14" t="n">
        <x:f>IF(L148="",0,IF(COUNTIFS('Tasks'!$A$2:$A$224,L148)=1,INDEX('Tasks'!$M$2:$M$224,MATCH(L148,'Tasks'!$A$2:$A$224,0)),"BAD ID"))</x:f>
        <x:v>0</x:v>
      </x:c>
      <x:c r="U148" s="14" t="n">
        <x:f>IF(M148="",0,IF(COUNTIFS('Tasks'!$A$2:$A$224,M148)=1,INDEX('Tasks'!$M$2:$M$224,MATCH(M148,'Tasks'!$A$2:$A$224,0)),"BAD ID"))</x:f>
        <x:v>0</x:v>
      </x:c>
      <x:c r="V148" s="14" t="n">
        <x:f>IF(N148="",0,IF(COUNTIFS('Tasks'!$A$2:$A$224,N148)=1,INDEX('Tasks'!$M$2:$M$224,MATCH(N148,'Tasks'!$A$2:$A$224,0)),"BAD ID"))</x:f>
        <x:v>0</x:v>
      </x:c>
      <x:c r="W148" s="14" t="n">
        <x:f>IF(O148="",0,IF(COUNTIFS('Tasks'!$A$2:$A$224,O148)=1,INDEX('Tasks'!$M$2:$M$224,MATCH(O148,'Tasks'!$A$2:$A$224,0)),"BAD ID"))</x:f>
        <x:v>0</x:v>
      </x:c>
    </x:row>
    <x:row r="149" ht="28" customHeight="1">
      <x:c r="A149" s="2" t="str">
        <x:v>IND-MOH-PEER</x:v>
      </x:c>
      <x:c r="B149" s="2" t="str">
        <x:f>IF(VLOOKUP(A149,'Tasks'!$A$2:$X$224,15,FALSE)="","",VLOOKUP(A149,'Tasks'!$A$2:$X$224,15,FALSE))</x:f>
      </x:c>
      <x:c r="C149" s="13" t="n">
        <x:f>VLOOKUP(A149,'Tasks'!$A$2:$X$224,12,FALSE)</x:f>
        <x:v>46326</x:v>
      </x:c>
      <x:c r="D149" s="2" t="n">
        <x:f>IF(B149="",0,LEN(B149)-LEN(SUBSTITUTE(B149,",",""))+1)</x:f>
        <x:v>0</x:v>
      </x:c>
      <x:c r="E149" s="14" t="n">
        <x:f>MAX(P149:W149)</x:f>
        <x:v>0</x:v>
      </x:c>
      <x:c r="F149" s="2" t="n">
        <x:f>COUNTIFS(P149:W149,"BAD ID")</x:f>
        <x:v>0</x:v>
      </x:c>
      <x:c r="G149" s="2" t="str">
        <x:f>IF(D149&gt;8,"TOO MANY",IF(F149&gt;0,"BAD ID",IF(C149&gt;=E149,"OK","LATE")))</x:f>
        <x:v>OK</x:v>
      </x:c>
      <x:c r="H149" s="2" t="str">
        <x:f>TRIM(MID(SUBSTITUTE($B149,",",REPT(" ",100)),1,100))</x:f>
      </x:c>
      <x:c r="I149" s="2" t="str">
        <x:f>TRIM(MID(SUBSTITUTE($B149,",",REPT(" ",100)),101,100))</x:f>
      </x:c>
      <x:c r="J149" s="2" t="str">
        <x:f>TRIM(MID(SUBSTITUTE($B149,",",REPT(" ",100)),201,100))</x:f>
      </x:c>
      <x:c r="K149" s="2" t="str">
        <x:f>TRIM(MID(SUBSTITUTE($B149,",",REPT(" ",100)),301,100))</x:f>
      </x:c>
      <x:c r="L149" s="2" t="str">
        <x:f>TRIM(MID(SUBSTITUTE($B149,",",REPT(" ",100)),401,100))</x:f>
      </x:c>
      <x:c r="M149" s="2" t="str">
        <x:f>TRIM(MID(SUBSTITUTE($B149,",",REPT(" ",100)),501,100))</x:f>
      </x:c>
      <x:c r="N149" s="2" t="str">
        <x:f>TRIM(MID(SUBSTITUTE($B149,",",REPT(" ",100)),601,100))</x:f>
      </x:c>
      <x:c r="O149" s="2" t="str">
        <x:f>TRIM(MID(SUBSTITUTE($B149,",",REPT(" ",100)),701,100))</x:f>
      </x:c>
      <x:c r="P149" s="14" t="n">
        <x:f>IF(H149="",0,IF(COUNTIFS('Tasks'!$A$2:$A$224,H149)=1,INDEX('Tasks'!$M$2:$M$224,MATCH(H149,'Tasks'!$A$2:$A$224,0)),"BAD ID"))</x:f>
        <x:v>0</x:v>
      </x:c>
      <x:c r="Q149" s="14" t="n">
        <x:f>IF(I149="",0,IF(COUNTIFS('Tasks'!$A$2:$A$224,I149)=1,INDEX('Tasks'!$M$2:$M$224,MATCH(I149,'Tasks'!$A$2:$A$224,0)),"BAD ID"))</x:f>
        <x:v>0</x:v>
      </x:c>
      <x:c r="R149" s="14" t="n">
        <x:f>IF(J149="",0,IF(COUNTIFS('Tasks'!$A$2:$A$224,J149)=1,INDEX('Tasks'!$M$2:$M$224,MATCH(J149,'Tasks'!$A$2:$A$224,0)),"BAD ID"))</x:f>
        <x:v>0</x:v>
      </x:c>
      <x:c r="S149" s="14" t="n">
        <x:f>IF(K149="",0,IF(COUNTIFS('Tasks'!$A$2:$A$224,K149)=1,INDEX('Tasks'!$M$2:$M$224,MATCH(K149,'Tasks'!$A$2:$A$224,0)),"BAD ID"))</x:f>
        <x:v>0</x:v>
      </x:c>
      <x:c r="T149" s="14" t="n">
        <x:f>IF(L149="",0,IF(COUNTIFS('Tasks'!$A$2:$A$224,L149)=1,INDEX('Tasks'!$M$2:$M$224,MATCH(L149,'Tasks'!$A$2:$A$224,0)),"BAD ID"))</x:f>
        <x:v>0</x:v>
      </x:c>
      <x:c r="U149" s="14" t="n">
        <x:f>IF(M149="",0,IF(COUNTIFS('Tasks'!$A$2:$A$224,M149)=1,INDEX('Tasks'!$M$2:$M$224,MATCH(M149,'Tasks'!$A$2:$A$224,0)),"BAD ID"))</x:f>
        <x:v>0</x:v>
      </x:c>
      <x:c r="V149" s="14" t="n">
        <x:f>IF(N149="",0,IF(COUNTIFS('Tasks'!$A$2:$A$224,N149)=1,INDEX('Tasks'!$M$2:$M$224,MATCH(N149,'Tasks'!$A$2:$A$224,0)),"BAD ID"))</x:f>
        <x:v>0</x:v>
      </x:c>
      <x:c r="W149" s="14" t="n">
        <x:f>IF(O149="",0,IF(COUNTIFS('Tasks'!$A$2:$A$224,O149)=1,INDEX('Tasks'!$M$2:$M$224,MATCH(O149,'Tasks'!$A$2:$A$224,0)),"BAD ID"))</x:f>
        <x:v>0</x:v>
      </x:c>
    </x:row>
    <x:row r="150" ht="28" customHeight="1">
      <x:c r="A150" s="2" t="str">
        <x:v>IND-MOH-SPARK</x:v>
      </x:c>
      <x:c r="B150" s="2" t="str">
        <x:f>IF(VLOOKUP(A150,'Tasks'!$A$2:$X$224,15,FALSE)="","",VLOOKUP(A150,'Tasks'!$A$2:$X$224,15,FALSE))</x:f>
      </x:c>
      <x:c r="C150" s="13" t="n">
        <x:f>VLOOKUP(A150,'Tasks'!$A$2:$X$224,12,FALSE)</x:f>
        <x:v>46326</x:v>
      </x:c>
      <x:c r="D150" s="2" t="n">
        <x:f>IF(B150="",0,LEN(B150)-LEN(SUBSTITUTE(B150,",",""))+1)</x:f>
        <x:v>0</x:v>
      </x:c>
      <x:c r="E150" s="14" t="n">
        <x:f>MAX(P150:W150)</x:f>
        <x:v>0</x:v>
      </x:c>
      <x:c r="F150" s="2" t="n">
        <x:f>COUNTIFS(P150:W150,"BAD ID")</x:f>
        <x:v>0</x:v>
      </x:c>
      <x:c r="G150" s="2" t="str">
        <x:f>IF(D150&gt;8,"TOO MANY",IF(F150&gt;0,"BAD ID",IF(C150&gt;=E150,"OK","LATE")))</x:f>
        <x:v>OK</x:v>
      </x:c>
      <x:c r="H150" s="2" t="str">
        <x:f>TRIM(MID(SUBSTITUTE($B150,",",REPT(" ",100)),1,100))</x:f>
      </x:c>
      <x:c r="I150" s="2" t="str">
        <x:f>TRIM(MID(SUBSTITUTE($B150,",",REPT(" ",100)),101,100))</x:f>
      </x:c>
      <x:c r="J150" s="2" t="str">
        <x:f>TRIM(MID(SUBSTITUTE($B150,",",REPT(" ",100)),201,100))</x:f>
      </x:c>
      <x:c r="K150" s="2" t="str">
        <x:f>TRIM(MID(SUBSTITUTE($B150,",",REPT(" ",100)),301,100))</x:f>
      </x:c>
      <x:c r="L150" s="2" t="str">
        <x:f>TRIM(MID(SUBSTITUTE($B150,",",REPT(" ",100)),401,100))</x:f>
      </x:c>
      <x:c r="M150" s="2" t="str">
        <x:f>TRIM(MID(SUBSTITUTE($B150,",",REPT(" ",100)),501,100))</x:f>
      </x:c>
      <x:c r="N150" s="2" t="str">
        <x:f>TRIM(MID(SUBSTITUTE($B150,",",REPT(" ",100)),601,100))</x:f>
      </x:c>
      <x:c r="O150" s="2" t="str">
        <x:f>TRIM(MID(SUBSTITUTE($B150,",",REPT(" ",100)),701,100))</x:f>
      </x:c>
      <x:c r="P150" s="14" t="n">
        <x:f>IF(H150="",0,IF(COUNTIFS('Tasks'!$A$2:$A$224,H150)=1,INDEX('Tasks'!$M$2:$M$224,MATCH(H150,'Tasks'!$A$2:$A$224,0)),"BAD ID"))</x:f>
        <x:v>0</x:v>
      </x:c>
      <x:c r="Q150" s="14" t="n">
        <x:f>IF(I150="",0,IF(COUNTIFS('Tasks'!$A$2:$A$224,I150)=1,INDEX('Tasks'!$M$2:$M$224,MATCH(I150,'Tasks'!$A$2:$A$224,0)),"BAD ID"))</x:f>
        <x:v>0</x:v>
      </x:c>
      <x:c r="R150" s="14" t="n">
        <x:f>IF(J150="",0,IF(COUNTIFS('Tasks'!$A$2:$A$224,J150)=1,INDEX('Tasks'!$M$2:$M$224,MATCH(J150,'Tasks'!$A$2:$A$224,0)),"BAD ID"))</x:f>
        <x:v>0</x:v>
      </x:c>
      <x:c r="S150" s="14" t="n">
        <x:f>IF(K150="",0,IF(COUNTIFS('Tasks'!$A$2:$A$224,K150)=1,INDEX('Tasks'!$M$2:$M$224,MATCH(K150,'Tasks'!$A$2:$A$224,0)),"BAD ID"))</x:f>
        <x:v>0</x:v>
      </x:c>
      <x:c r="T150" s="14" t="n">
        <x:f>IF(L150="",0,IF(COUNTIFS('Tasks'!$A$2:$A$224,L150)=1,INDEX('Tasks'!$M$2:$M$224,MATCH(L150,'Tasks'!$A$2:$A$224,0)),"BAD ID"))</x:f>
        <x:v>0</x:v>
      </x:c>
      <x:c r="U150" s="14" t="n">
        <x:f>IF(M150="",0,IF(COUNTIFS('Tasks'!$A$2:$A$224,M150)=1,INDEX('Tasks'!$M$2:$M$224,MATCH(M150,'Tasks'!$A$2:$A$224,0)),"BAD ID"))</x:f>
        <x:v>0</x:v>
      </x:c>
      <x:c r="V150" s="14" t="n">
        <x:f>IF(N150="",0,IF(COUNTIFS('Tasks'!$A$2:$A$224,N150)=1,INDEX('Tasks'!$M$2:$M$224,MATCH(N150,'Tasks'!$A$2:$A$224,0)),"BAD ID"))</x:f>
        <x:v>0</x:v>
      </x:c>
      <x:c r="W150" s="14" t="n">
        <x:f>IF(O150="",0,IF(COUNTIFS('Tasks'!$A$2:$A$224,O150)=1,INDEX('Tasks'!$M$2:$M$224,MATCH(O150,'Tasks'!$A$2:$A$224,0)),"BAD ID"))</x:f>
        <x:v>0</x:v>
      </x:c>
    </x:row>
    <x:row r="151" ht="28" customHeight="1">
      <x:c r="A151" s="2" t="str">
        <x:v>DEMO-MOH-R1</x:v>
      </x:c>
      <x:c r="B151" s="2" t="str">
        <x:f>IF(VLOOKUP(A151,'Tasks'!$A$2:$X$224,15,FALSE)="","",VLOOKUP(A151,'Tasks'!$A$2:$X$224,15,FALSE))</x:f>
        <x:v>DEMO-02</x:v>
      </x:c>
      <x:c r="C151" s="13" t="n">
        <x:f>VLOOKUP(A151,'Tasks'!$A$2:$X$224,12,FALSE)</x:f>
        <x:v>46325</x:v>
      </x:c>
      <x:c r="D151" s="2" t="n">
        <x:f>IF(B151="",0,LEN(B151)-LEN(SUBSTITUTE(B151,",",""))+1)</x:f>
        <x:v>1</x:v>
      </x:c>
      <x:c r="E151" s="14" t="n">
        <x:f>MAX(P151:W151)</x:f>
        <x:v>46324</x:v>
      </x:c>
      <x:c r="F151" s="2" t="n">
        <x:f>COUNTIFS(P151:W151,"BAD ID")</x:f>
        <x:v>0</x:v>
      </x:c>
      <x:c r="G151" s="2" t="str">
        <x:f>IF(D151&gt;8,"TOO MANY",IF(F151&gt;0,"BAD ID",IF(C151&gt;=E151,"OK","LATE")))</x:f>
        <x:v>OK</x:v>
      </x:c>
      <x:c r="H151" s="2" t="str">
        <x:f>TRIM(MID(SUBSTITUTE($B151,",",REPT(" ",100)),1,100))</x:f>
        <x:v>DEMO-02</x:v>
      </x:c>
      <x:c r="I151" s="2" t="str">
        <x:f>TRIM(MID(SUBSTITUTE($B151,",",REPT(" ",100)),101,100))</x:f>
      </x:c>
      <x:c r="J151" s="2" t="str">
        <x:f>TRIM(MID(SUBSTITUTE($B151,",",REPT(" ",100)),201,100))</x:f>
      </x:c>
      <x:c r="K151" s="2" t="str">
        <x:f>TRIM(MID(SUBSTITUTE($B151,",",REPT(" ",100)),301,100))</x:f>
      </x:c>
      <x:c r="L151" s="2" t="str">
        <x:f>TRIM(MID(SUBSTITUTE($B151,",",REPT(" ",100)),401,100))</x:f>
      </x:c>
      <x:c r="M151" s="2" t="str">
        <x:f>TRIM(MID(SUBSTITUTE($B151,",",REPT(" ",100)),501,100))</x:f>
      </x:c>
      <x:c r="N151" s="2" t="str">
        <x:f>TRIM(MID(SUBSTITUTE($B151,",",REPT(" ",100)),601,100))</x:f>
      </x:c>
      <x:c r="O151" s="2" t="str">
        <x:f>TRIM(MID(SUBSTITUTE($B151,",",REPT(" ",100)),701,100))</x:f>
      </x:c>
      <x:c r="P151" s="14" t="n">
        <x:f>IF(H151="",0,IF(COUNTIFS('Tasks'!$A$2:$A$224,H151)=1,INDEX('Tasks'!$M$2:$M$224,MATCH(H151,'Tasks'!$A$2:$A$224,0)),"BAD ID"))</x:f>
        <x:v>46324</x:v>
      </x:c>
      <x:c r="Q151" s="14" t="n">
        <x:f>IF(I151="",0,IF(COUNTIFS('Tasks'!$A$2:$A$224,I151)=1,INDEX('Tasks'!$M$2:$M$224,MATCH(I151,'Tasks'!$A$2:$A$224,0)),"BAD ID"))</x:f>
        <x:v>0</x:v>
      </x:c>
      <x:c r="R151" s="14" t="n">
        <x:f>IF(J151="",0,IF(COUNTIFS('Tasks'!$A$2:$A$224,J151)=1,INDEX('Tasks'!$M$2:$M$224,MATCH(J151,'Tasks'!$A$2:$A$224,0)),"BAD ID"))</x:f>
        <x:v>0</x:v>
      </x:c>
      <x:c r="S151" s="14" t="n">
        <x:f>IF(K151="",0,IF(COUNTIFS('Tasks'!$A$2:$A$224,K151)=1,INDEX('Tasks'!$M$2:$M$224,MATCH(K151,'Tasks'!$A$2:$A$224,0)),"BAD ID"))</x:f>
        <x:v>0</x:v>
      </x:c>
      <x:c r="T151" s="14" t="n">
        <x:f>IF(L151="",0,IF(COUNTIFS('Tasks'!$A$2:$A$224,L151)=1,INDEX('Tasks'!$M$2:$M$224,MATCH(L151,'Tasks'!$A$2:$A$224,0)),"BAD ID"))</x:f>
        <x:v>0</x:v>
      </x:c>
      <x:c r="U151" s="14" t="n">
        <x:f>IF(M151="",0,IF(COUNTIFS('Tasks'!$A$2:$A$224,M151)=1,INDEX('Tasks'!$M$2:$M$224,MATCH(M151,'Tasks'!$A$2:$A$224,0)),"BAD ID"))</x:f>
        <x:v>0</x:v>
      </x:c>
      <x:c r="V151" s="14" t="n">
        <x:f>IF(N151="",0,IF(COUNTIFS('Tasks'!$A$2:$A$224,N151)=1,INDEX('Tasks'!$M$2:$M$224,MATCH(N151,'Tasks'!$A$2:$A$224,0)),"BAD ID"))</x:f>
        <x:v>0</x:v>
      </x:c>
      <x:c r="W151" s="14" t="n">
        <x:f>IF(O151="",0,IF(COUNTIFS('Tasks'!$A$2:$A$224,O151)=1,INDEX('Tasks'!$M$2:$M$224,MATCH(O151,'Tasks'!$A$2:$A$224,0)),"BAD ID"))</x:f>
        <x:v>0</x:v>
      </x:c>
    </x:row>
    <x:row r="152" ht="28" customHeight="1">
      <x:c r="A152" s="2" t="str">
        <x:v>DEMO-MOH-R2</x:v>
      </x:c>
      <x:c r="B152" s="2" t="str">
        <x:f>IF(VLOOKUP(A152,'Tasks'!$A$2:$X$224,15,FALSE)="","",VLOOKUP(A152,'Tasks'!$A$2:$X$224,15,FALSE))</x:f>
        <x:v>DEMO-03</x:v>
      </x:c>
      <x:c r="C152" s="13" t="n">
        <x:f>VLOOKUP(A152,'Tasks'!$A$2:$X$224,12,FALSE)</x:f>
        <x:v>46326</x:v>
      </x:c>
      <x:c r="D152" s="2" t="n">
        <x:f>IF(B152="",0,LEN(B152)-LEN(SUBSTITUTE(B152,",",""))+1)</x:f>
        <x:v>1</x:v>
      </x:c>
      <x:c r="E152" s="14" t="n">
        <x:f>MAX(P152:W152)</x:f>
        <x:v>46325</x:v>
      </x:c>
      <x:c r="F152" s="2" t="n">
        <x:f>COUNTIFS(P152:W152,"BAD ID")</x:f>
        <x:v>0</x:v>
      </x:c>
      <x:c r="G152" s="2" t="str">
        <x:f>IF(D152&gt;8,"TOO MANY",IF(F152&gt;0,"BAD ID",IF(C152&gt;=E152,"OK","LATE")))</x:f>
        <x:v>OK</x:v>
      </x:c>
      <x:c r="H152" s="2" t="str">
        <x:f>TRIM(MID(SUBSTITUTE($B152,",",REPT(" ",100)),1,100))</x:f>
        <x:v>DEMO-03</x:v>
      </x:c>
      <x:c r="I152" s="2" t="str">
        <x:f>TRIM(MID(SUBSTITUTE($B152,",",REPT(" ",100)),101,100))</x:f>
      </x:c>
      <x:c r="J152" s="2" t="str">
        <x:f>TRIM(MID(SUBSTITUTE($B152,",",REPT(" ",100)),201,100))</x:f>
      </x:c>
      <x:c r="K152" s="2" t="str">
        <x:f>TRIM(MID(SUBSTITUTE($B152,",",REPT(" ",100)),301,100))</x:f>
      </x:c>
      <x:c r="L152" s="2" t="str">
        <x:f>TRIM(MID(SUBSTITUTE($B152,",",REPT(" ",100)),401,100))</x:f>
      </x:c>
      <x:c r="M152" s="2" t="str">
        <x:f>TRIM(MID(SUBSTITUTE($B152,",",REPT(" ",100)),501,100))</x:f>
      </x:c>
      <x:c r="N152" s="2" t="str">
        <x:f>TRIM(MID(SUBSTITUTE($B152,",",REPT(" ",100)),601,100))</x:f>
      </x:c>
      <x:c r="O152" s="2" t="str">
        <x:f>TRIM(MID(SUBSTITUTE($B152,",",REPT(" ",100)),701,100))</x:f>
      </x:c>
      <x:c r="P152" s="14" t="n">
        <x:f>IF(H152="",0,IF(COUNTIFS('Tasks'!$A$2:$A$224,H152)=1,INDEX('Tasks'!$M$2:$M$224,MATCH(H152,'Tasks'!$A$2:$A$224,0)),"BAD ID"))</x:f>
        <x:v>46325</x:v>
      </x:c>
      <x:c r="Q152" s="14" t="n">
        <x:f>IF(I152="",0,IF(COUNTIFS('Tasks'!$A$2:$A$224,I152)=1,INDEX('Tasks'!$M$2:$M$224,MATCH(I152,'Tasks'!$A$2:$A$224,0)),"BAD ID"))</x:f>
        <x:v>0</x:v>
      </x:c>
      <x:c r="R152" s="14" t="n">
        <x:f>IF(J152="",0,IF(COUNTIFS('Tasks'!$A$2:$A$224,J152)=1,INDEX('Tasks'!$M$2:$M$224,MATCH(J152,'Tasks'!$A$2:$A$224,0)),"BAD ID"))</x:f>
        <x:v>0</x:v>
      </x:c>
      <x:c r="S152" s="14" t="n">
        <x:f>IF(K152="",0,IF(COUNTIFS('Tasks'!$A$2:$A$224,K152)=1,INDEX('Tasks'!$M$2:$M$224,MATCH(K152,'Tasks'!$A$2:$A$224,0)),"BAD ID"))</x:f>
        <x:v>0</x:v>
      </x:c>
      <x:c r="T152" s="14" t="n">
        <x:f>IF(L152="",0,IF(COUNTIFS('Tasks'!$A$2:$A$224,L152)=1,INDEX('Tasks'!$M$2:$M$224,MATCH(L152,'Tasks'!$A$2:$A$224,0)),"BAD ID"))</x:f>
        <x:v>0</x:v>
      </x:c>
      <x:c r="U152" s="14" t="n">
        <x:f>IF(M152="",0,IF(COUNTIFS('Tasks'!$A$2:$A$224,M152)=1,INDEX('Tasks'!$M$2:$M$224,MATCH(M152,'Tasks'!$A$2:$A$224,0)),"BAD ID"))</x:f>
        <x:v>0</x:v>
      </x:c>
      <x:c r="V152" s="14" t="n">
        <x:f>IF(N152="",0,IF(COUNTIFS('Tasks'!$A$2:$A$224,N152)=1,INDEX('Tasks'!$M$2:$M$224,MATCH(N152,'Tasks'!$A$2:$A$224,0)),"BAD ID"))</x:f>
        <x:v>0</x:v>
      </x:c>
      <x:c r="W152" s="14" t="n">
        <x:f>IF(O152="",0,IF(COUNTIFS('Tasks'!$A$2:$A$224,O152)=1,INDEX('Tasks'!$M$2:$M$224,MATCH(O152,'Tasks'!$A$2:$A$224,0)),"BAD ID"))</x:f>
        <x:v>0</x:v>
      </x:c>
    </x:row>
    <x:row r="153" ht="28" customHeight="1">
      <x:c r="A153" s="2" t="str">
        <x:v>REV-ABD-1</x:v>
      </x:c>
      <x:c r="B153" s="2" t="str">
        <x:f>IF(VLOOKUP(A153,'Tasks'!$A$2:$X$224,15,FALSE)="","",VLOOKUP(A153,'Tasks'!$A$2:$X$224,15,FALSE))</x:f>
        <x:v>PROC-01</x:v>
      </x:c>
      <x:c r="C153" s="13" t="n">
        <x:f>VLOOKUP(A153,'Tasks'!$A$2:$X$224,12,FALSE)</x:f>
        <x:v>46307</x:v>
      </x:c>
      <x:c r="D153" s="2" t="n">
        <x:f>IF(B153="",0,LEN(B153)-LEN(SUBSTITUTE(B153,",",""))+1)</x:f>
        <x:v>1</x:v>
      </x:c>
      <x:c r="E153" s="14" t="n">
        <x:f>MAX(P153:W153)</x:f>
        <x:v>46307</x:v>
      </x:c>
      <x:c r="F153" s="2" t="n">
        <x:f>COUNTIFS(P153:W153,"BAD ID")</x:f>
        <x:v>0</x:v>
      </x:c>
      <x:c r="G153" s="2" t="str">
        <x:f>IF(D153&gt;8,"TOO MANY",IF(F153&gt;0,"BAD ID",IF(C153&gt;=E153,"OK","LATE")))</x:f>
        <x:v>OK</x:v>
      </x:c>
      <x:c r="H153" s="2" t="str">
        <x:f>TRIM(MID(SUBSTITUTE($B153,",",REPT(" ",100)),1,100))</x:f>
        <x:v>PROC-01</x:v>
      </x:c>
      <x:c r="I153" s="2" t="str">
        <x:f>TRIM(MID(SUBSTITUTE($B153,",",REPT(" ",100)),101,100))</x:f>
      </x:c>
      <x:c r="J153" s="2" t="str">
        <x:f>TRIM(MID(SUBSTITUTE($B153,",",REPT(" ",100)),201,100))</x:f>
      </x:c>
      <x:c r="K153" s="2" t="str">
        <x:f>TRIM(MID(SUBSTITUTE($B153,",",REPT(" ",100)),301,100))</x:f>
      </x:c>
      <x:c r="L153" s="2" t="str">
        <x:f>TRIM(MID(SUBSTITUTE($B153,",",REPT(" ",100)),401,100))</x:f>
      </x:c>
      <x:c r="M153" s="2" t="str">
        <x:f>TRIM(MID(SUBSTITUTE($B153,",",REPT(" ",100)),501,100))</x:f>
      </x:c>
      <x:c r="N153" s="2" t="str">
        <x:f>TRIM(MID(SUBSTITUTE($B153,",",REPT(" ",100)),601,100))</x:f>
      </x:c>
      <x:c r="O153" s="2" t="str">
        <x:f>TRIM(MID(SUBSTITUTE($B153,",",REPT(" ",100)),701,100))</x:f>
      </x:c>
      <x:c r="P153" s="14" t="n">
        <x:f>IF(H153="",0,IF(COUNTIFS('Tasks'!$A$2:$A$224,H153)=1,INDEX('Tasks'!$M$2:$M$224,MATCH(H153,'Tasks'!$A$2:$A$224,0)),"BAD ID"))</x:f>
        <x:v>46307</x:v>
      </x:c>
      <x:c r="Q153" s="14" t="n">
        <x:f>IF(I153="",0,IF(COUNTIFS('Tasks'!$A$2:$A$224,I153)=1,INDEX('Tasks'!$M$2:$M$224,MATCH(I153,'Tasks'!$A$2:$A$224,0)),"BAD ID"))</x:f>
        <x:v>0</x:v>
      </x:c>
      <x:c r="R153" s="14" t="n">
        <x:f>IF(J153="",0,IF(COUNTIFS('Tasks'!$A$2:$A$224,J153)=1,INDEX('Tasks'!$M$2:$M$224,MATCH(J153,'Tasks'!$A$2:$A$224,0)),"BAD ID"))</x:f>
        <x:v>0</x:v>
      </x:c>
      <x:c r="S153" s="14" t="n">
        <x:f>IF(K153="",0,IF(COUNTIFS('Tasks'!$A$2:$A$224,K153)=1,INDEX('Tasks'!$M$2:$M$224,MATCH(K153,'Tasks'!$A$2:$A$224,0)),"BAD ID"))</x:f>
        <x:v>0</x:v>
      </x:c>
      <x:c r="T153" s="14" t="n">
        <x:f>IF(L153="",0,IF(COUNTIFS('Tasks'!$A$2:$A$224,L153)=1,INDEX('Tasks'!$M$2:$M$224,MATCH(L153,'Tasks'!$A$2:$A$224,0)),"BAD ID"))</x:f>
        <x:v>0</x:v>
      </x:c>
      <x:c r="U153" s="14" t="n">
        <x:f>IF(M153="",0,IF(COUNTIFS('Tasks'!$A$2:$A$224,M153)=1,INDEX('Tasks'!$M$2:$M$224,MATCH(M153,'Tasks'!$A$2:$A$224,0)),"BAD ID"))</x:f>
        <x:v>0</x:v>
      </x:c>
      <x:c r="V153" s="14" t="n">
        <x:f>IF(N153="",0,IF(COUNTIFS('Tasks'!$A$2:$A$224,N153)=1,INDEX('Tasks'!$M$2:$M$224,MATCH(N153,'Tasks'!$A$2:$A$224,0)),"BAD ID"))</x:f>
        <x:v>0</x:v>
      </x:c>
      <x:c r="W153" s="14" t="n">
        <x:f>IF(O153="",0,IF(COUNTIFS('Tasks'!$A$2:$A$224,O153)=1,INDEX('Tasks'!$M$2:$M$224,MATCH(O153,'Tasks'!$A$2:$A$224,0)),"BAD ID"))</x:f>
        <x:v>0</x:v>
      </x:c>
    </x:row>
    <x:row r="154" ht="28" customHeight="1">
      <x:c r="A154" s="2" t="str">
        <x:v>COM-ABD-1</x:v>
      </x:c>
      <x:c r="B154" s="2" t="str">
        <x:f>IF(VLOOKUP(A154,'Tasks'!$A$2:$X$224,15,FALSE)="","",VLOOKUP(A154,'Tasks'!$A$2:$X$224,15,FALSE))</x:f>
      </x:c>
      <x:c r="C154" s="13" t="n">
        <x:f>VLOOKUP(A154,'Tasks'!$A$2:$X$224,12,FALSE)</x:f>
        <x:v>46307</x:v>
      </x:c>
      <x:c r="D154" s="2" t="n">
        <x:f>IF(B154="",0,LEN(B154)-LEN(SUBSTITUTE(B154,",",""))+1)</x:f>
        <x:v>0</x:v>
      </x:c>
      <x:c r="E154" s="14" t="n">
        <x:f>MAX(P154:W154)</x:f>
        <x:v>0</x:v>
      </x:c>
      <x:c r="F154" s="2" t="n">
        <x:f>COUNTIFS(P154:W154,"BAD ID")</x:f>
        <x:v>0</x:v>
      </x:c>
      <x:c r="G154" s="2" t="str">
        <x:f>IF(D154&gt;8,"TOO MANY",IF(F154&gt;0,"BAD ID",IF(C154&gt;=E154,"OK","LATE")))</x:f>
        <x:v>OK</x:v>
      </x:c>
      <x:c r="H154" s="2" t="str">
        <x:f>TRIM(MID(SUBSTITUTE($B154,",",REPT(" ",100)),1,100))</x:f>
      </x:c>
      <x:c r="I154" s="2" t="str">
        <x:f>TRIM(MID(SUBSTITUTE($B154,",",REPT(" ",100)),101,100))</x:f>
      </x:c>
      <x:c r="J154" s="2" t="str">
        <x:f>TRIM(MID(SUBSTITUTE($B154,",",REPT(" ",100)),201,100))</x:f>
      </x:c>
      <x:c r="K154" s="2" t="str">
        <x:f>TRIM(MID(SUBSTITUTE($B154,",",REPT(" ",100)),301,100))</x:f>
      </x:c>
      <x:c r="L154" s="2" t="str">
        <x:f>TRIM(MID(SUBSTITUTE($B154,",",REPT(" ",100)),401,100))</x:f>
      </x:c>
      <x:c r="M154" s="2" t="str">
        <x:f>TRIM(MID(SUBSTITUTE($B154,",",REPT(" ",100)),501,100))</x:f>
      </x:c>
      <x:c r="N154" s="2" t="str">
        <x:f>TRIM(MID(SUBSTITUTE($B154,",",REPT(" ",100)),601,100))</x:f>
      </x:c>
      <x:c r="O154" s="2" t="str">
        <x:f>TRIM(MID(SUBSTITUTE($B154,",",REPT(" ",100)),701,100))</x:f>
      </x:c>
      <x:c r="P154" s="14" t="n">
        <x:f>IF(H154="",0,IF(COUNTIFS('Tasks'!$A$2:$A$224,H154)=1,INDEX('Tasks'!$M$2:$M$224,MATCH(H154,'Tasks'!$A$2:$A$224,0)),"BAD ID"))</x:f>
        <x:v>0</x:v>
      </x:c>
      <x:c r="Q154" s="14" t="n">
        <x:f>IF(I154="",0,IF(COUNTIFS('Tasks'!$A$2:$A$224,I154)=1,INDEX('Tasks'!$M$2:$M$224,MATCH(I154,'Tasks'!$A$2:$A$224,0)),"BAD ID"))</x:f>
        <x:v>0</x:v>
      </x:c>
      <x:c r="R154" s="14" t="n">
        <x:f>IF(J154="",0,IF(COUNTIFS('Tasks'!$A$2:$A$224,J154)=1,INDEX('Tasks'!$M$2:$M$224,MATCH(J154,'Tasks'!$A$2:$A$224,0)),"BAD ID"))</x:f>
        <x:v>0</x:v>
      </x:c>
      <x:c r="S154" s="14" t="n">
        <x:f>IF(K154="",0,IF(COUNTIFS('Tasks'!$A$2:$A$224,K154)=1,INDEX('Tasks'!$M$2:$M$224,MATCH(K154,'Tasks'!$A$2:$A$224,0)),"BAD ID"))</x:f>
        <x:v>0</x:v>
      </x:c>
      <x:c r="T154" s="14" t="n">
        <x:f>IF(L154="",0,IF(COUNTIFS('Tasks'!$A$2:$A$224,L154)=1,INDEX('Tasks'!$M$2:$M$224,MATCH(L154,'Tasks'!$A$2:$A$224,0)),"BAD ID"))</x:f>
        <x:v>0</x:v>
      </x:c>
      <x:c r="U154" s="14" t="n">
        <x:f>IF(M154="",0,IF(COUNTIFS('Tasks'!$A$2:$A$224,M154)=1,INDEX('Tasks'!$M$2:$M$224,MATCH(M154,'Tasks'!$A$2:$A$224,0)),"BAD ID"))</x:f>
        <x:v>0</x:v>
      </x:c>
      <x:c r="V154" s="14" t="n">
        <x:f>IF(N154="",0,IF(COUNTIFS('Tasks'!$A$2:$A$224,N154)=1,INDEX('Tasks'!$M$2:$M$224,MATCH(N154,'Tasks'!$A$2:$A$224,0)),"BAD ID"))</x:f>
        <x:v>0</x:v>
      </x:c>
      <x:c r="W154" s="14" t="n">
        <x:f>IF(O154="",0,IF(COUNTIFS('Tasks'!$A$2:$A$224,O154)=1,INDEX('Tasks'!$M$2:$M$224,MATCH(O154,'Tasks'!$A$2:$A$224,0)),"BAD ID"))</x:f>
        <x:v>0</x:v>
      </x:c>
    </x:row>
    <x:row r="155" ht="28" customHeight="1">
      <x:c r="A155" s="2" t="str">
        <x:v>IND-ABD-AI1</x:v>
      </x:c>
      <x:c r="B155" s="2" t="str">
        <x:f>IF(VLOOKUP(A155,'Tasks'!$A$2:$X$224,15,FALSE)="","",VLOOKUP(A155,'Tasks'!$A$2:$X$224,15,FALSE))</x:f>
      </x:c>
      <x:c r="C155" s="13" t="n">
        <x:f>VLOOKUP(A155,'Tasks'!$A$2:$X$224,12,FALSE)</x:f>
        <x:v>46313</x:v>
      </x:c>
      <x:c r="D155" s="2" t="n">
        <x:f>IF(B155="",0,LEN(B155)-LEN(SUBSTITUTE(B155,",",""))+1)</x:f>
        <x:v>0</x:v>
      </x:c>
      <x:c r="E155" s="14" t="n">
        <x:f>MAX(P155:W155)</x:f>
        <x:v>0</x:v>
      </x:c>
      <x:c r="F155" s="2" t="n">
        <x:f>COUNTIFS(P155:W155,"BAD ID")</x:f>
        <x:v>0</x:v>
      </x:c>
      <x:c r="G155" s="2" t="str">
        <x:f>IF(D155&gt;8,"TOO MANY",IF(F155&gt;0,"BAD ID",IF(C155&gt;=E155,"OK","LATE")))</x:f>
        <x:v>OK</x:v>
      </x:c>
      <x:c r="H155" s="2" t="str">
        <x:f>TRIM(MID(SUBSTITUTE($B155,",",REPT(" ",100)),1,100))</x:f>
      </x:c>
      <x:c r="I155" s="2" t="str">
        <x:f>TRIM(MID(SUBSTITUTE($B155,",",REPT(" ",100)),101,100))</x:f>
      </x:c>
      <x:c r="J155" s="2" t="str">
        <x:f>TRIM(MID(SUBSTITUTE($B155,",",REPT(" ",100)),201,100))</x:f>
      </x:c>
      <x:c r="K155" s="2" t="str">
        <x:f>TRIM(MID(SUBSTITUTE($B155,",",REPT(" ",100)),301,100))</x:f>
      </x:c>
      <x:c r="L155" s="2" t="str">
        <x:f>TRIM(MID(SUBSTITUTE($B155,",",REPT(" ",100)),401,100))</x:f>
      </x:c>
      <x:c r="M155" s="2" t="str">
        <x:f>TRIM(MID(SUBSTITUTE($B155,",",REPT(" ",100)),501,100))</x:f>
      </x:c>
      <x:c r="N155" s="2" t="str">
        <x:f>TRIM(MID(SUBSTITUTE($B155,",",REPT(" ",100)),601,100))</x:f>
      </x:c>
      <x:c r="O155" s="2" t="str">
        <x:f>TRIM(MID(SUBSTITUTE($B155,",",REPT(" ",100)),701,100))</x:f>
      </x:c>
      <x:c r="P155" s="14" t="n">
        <x:f>IF(H155="",0,IF(COUNTIFS('Tasks'!$A$2:$A$224,H155)=1,INDEX('Tasks'!$M$2:$M$224,MATCH(H155,'Tasks'!$A$2:$A$224,0)),"BAD ID"))</x:f>
        <x:v>0</x:v>
      </x:c>
      <x:c r="Q155" s="14" t="n">
        <x:f>IF(I155="",0,IF(COUNTIFS('Tasks'!$A$2:$A$224,I155)=1,INDEX('Tasks'!$M$2:$M$224,MATCH(I155,'Tasks'!$A$2:$A$224,0)),"BAD ID"))</x:f>
        <x:v>0</x:v>
      </x:c>
      <x:c r="R155" s="14" t="n">
        <x:f>IF(J155="",0,IF(COUNTIFS('Tasks'!$A$2:$A$224,J155)=1,INDEX('Tasks'!$M$2:$M$224,MATCH(J155,'Tasks'!$A$2:$A$224,0)),"BAD ID"))</x:f>
        <x:v>0</x:v>
      </x:c>
      <x:c r="S155" s="14" t="n">
        <x:f>IF(K155="",0,IF(COUNTIFS('Tasks'!$A$2:$A$224,K155)=1,INDEX('Tasks'!$M$2:$M$224,MATCH(K155,'Tasks'!$A$2:$A$224,0)),"BAD ID"))</x:f>
        <x:v>0</x:v>
      </x:c>
      <x:c r="T155" s="14" t="n">
        <x:f>IF(L155="",0,IF(COUNTIFS('Tasks'!$A$2:$A$224,L155)=1,INDEX('Tasks'!$M$2:$M$224,MATCH(L155,'Tasks'!$A$2:$A$224,0)),"BAD ID"))</x:f>
        <x:v>0</x:v>
      </x:c>
      <x:c r="U155" s="14" t="n">
        <x:f>IF(M155="",0,IF(COUNTIFS('Tasks'!$A$2:$A$224,M155)=1,INDEX('Tasks'!$M$2:$M$224,MATCH(M155,'Tasks'!$A$2:$A$224,0)),"BAD ID"))</x:f>
        <x:v>0</x:v>
      </x:c>
      <x:c r="V155" s="14" t="n">
        <x:f>IF(N155="",0,IF(COUNTIFS('Tasks'!$A$2:$A$224,N155)=1,INDEX('Tasks'!$M$2:$M$224,MATCH(N155,'Tasks'!$A$2:$A$224,0)),"BAD ID"))</x:f>
        <x:v>0</x:v>
      </x:c>
      <x:c r="W155" s="14" t="n">
        <x:f>IF(O155="",0,IF(COUNTIFS('Tasks'!$A$2:$A$224,O155)=1,INDEX('Tasks'!$M$2:$M$224,MATCH(O155,'Tasks'!$A$2:$A$224,0)),"BAD ID"))</x:f>
        <x:v>0</x:v>
      </x:c>
    </x:row>
    <x:row r="156" ht="28" customHeight="1">
      <x:c r="A156" s="2" t="str">
        <x:v>REV-ABD-2</x:v>
      </x:c>
      <x:c r="B156" s="2" t="str">
        <x:f>IF(VLOOKUP(A156,'Tasks'!$A$2:$X$224,15,FALSE)="","",VLOOKUP(A156,'Tasks'!$A$2:$X$224,15,FALSE))</x:f>
        <x:v>PROC-01</x:v>
      </x:c>
      <x:c r="C156" s="13" t="n">
        <x:f>VLOOKUP(A156,'Tasks'!$A$2:$X$224,12,FALSE)</x:f>
        <x:v>46314</x:v>
      </x:c>
      <x:c r="D156" s="2" t="n">
        <x:f>IF(B156="",0,LEN(B156)-LEN(SUBSTITUTE(B156,",",""))+1)</x:f>
        <x:v>1</x:v>
      </x:c>
      <x:c r="E156" s="14" t="n">
        <x:f>MAX(P156:W156)</x:f>
        <x:v>46307</x:v>
      </x:c>
      <x:c r="F156" s="2" t="n">
        <x:f>COUNTIFS(P156:W156,"BAD ID")</x:f>
        <x:v>0</x:v>
      </x:c>
      <x:c r="G156" s="2" t="str">
        <x:f>IF(D156&gt;8,"TOO MANY",IF(F156&gt;0,"BAD ID",IF(C156&gt;=E156,"OK","LATE")))</x:f>
        <x:v>OK</x:v>
      </x:c>
      <x:c r="H156" s="2" t="str">
        <x:f>TRIM(MID(SUBSTITUTE($B156,",",REPT(" ",100)),1,100))</x:f>
        <x:v>PROC-01</x:v>
      </x:c>
      <x:c r="I156" s="2" t="str">
        <x:f>TRIM(MID(SUBSTITUTE($B156,",",REPT(" ",100)),101,100))</x:f>
      </x:c>
      <x:c r="J156" s="2" t="str">
        <x:f>TRIM(MID(SUBSTITUTE($B156,",",REPT(" ",100)),201,100))</x:f>
      </x:c>
      <x:c r="K156" s="2" t="str">
        <x:f>TRIM(MID(SUBSTITUTE($B156,",",REPT(" ",100)),301,100))</x:f>
      </x:c>
      <x:c r="L156" s="2" t="str">
        <x:f>TRIM(MID(SUBSTITUTE($B156,",",REPT(" ",100)),401,100))</x:f>
      </x:c>
      <x:c r="M156" s="2" t="str">
        <x:f>TRIM(MID(SUBSTITUTE($B156,",",REPT(" ",100)),501,100))</x:f>
      </x:c>
      <x:c r="N156" s="2" t="str">
        <x:f>TRIM(MID(SUBSTITUTE($B156,",",REPT(" ",100)),601,100))</x:f>
      </x:c>
      <x:c r="O156" s="2" t="str">
        <x:f>TRIM(MID(SUBSTITUTE($B156,",",REPT(" ",100)),701,100))</x:f>
      </x:c>
      <x:c r="P156" s="14" t="n">
        <x:f>IF(H156="",0,IF(COUNTIFS('Tasks'!$A$2:$A$224,H156)=1,INDEX('Tasks'!$M$2:$M$224,MATCH(H156,'Tasks'!$A$2:$A$224,0)),"BAD ID"))</x:f>
        <x:v>46307</x:v>
      </x:c>
      <x:c r="Q156" s="14" t="n">
        <x:f>IF(I156="",0,IF(COUNTIFS('Tasks'!$A$2:$A$224,I156)=1,INDEX('Tasks'!$M$2:$M$224,MATCH(I156,'Tasks'!$A$2:$A$224,0)),"BAD ID"))</x:f>
        <x:v>0</x:v>
      </x:c>
      <x:c r="R156" s="14" t="n">
        <x:f>IF(J156="",0,IF(COUNTIFS('Tasks'!$A$2:$A$224,J156)=1,INDEX('Tasks'!$M$2:$M$224,MATCH(J156,'Tasks'!$A$2:$A$224,0)),"BAD ID"))</x:f>
        <x:v>0</x:v>
      </x:c>
      <x:c r="S156" s="14" t="n">
        <x:f>IF(K156="",0,IF(COUNTIFS('Tasks'!$A$2:$A$224,K156)=1,INDEX('Tasks'!$M$2:$M$224,MATCH(K156,'Tasks'!$A$2:$A$224,0)),"BAD ID"))</x:f>
        <x:v>0</x:v>
      </x:c>
      <x:c r="T156" s="14" t="n">
        <x:f>IF(L156="",0,IF(COUNTIFS('Tasks'!$A$2:$A$224,L156)=1,INDEX('Tasks'!$M$2:$M$224,MATCH(L156,'Tasks'!$A$2:$A$224,0)),"BAD ID"))</x:f>
        <x:v>0</x:v>
      </x:c>
      <x:c r="U156" s="14" t="n">
        <x:f>IF(M156="",0,IF(COUNTIFS('Tasks'!$A$2:$A$224,M156)=1,INDEX('Tasks'!$M$2:$M$224,MATCH(M156,'Tasks'!$A$2:$A$224,0)),"BAD ID"))</x:f>
        <x:v>0</x:v>
      </x:c>
      <x:c r="V156" s="14" t="n">
        <x:f>IF(N156="",0,IF(COUNTIFS('Tasks'!$A$2:$A$224,N156)=1,INDEX('Tasks'!$M$2:$M$224,MATCH(N156,'Tasks'!$A$2:$A$224,0)),"BAD ID"))</x:f>
        <x:v>0</x:v>
      </x:c>
      <x:c r="W156" s="14" t="n">
        <x:f>IF(O156="",0,IF(COUNTIFS('Tasks'!$A$2:$A$224,O156)=1,INDEX('Tasks'!$M$2:$M$224,MATCH(O156,'Tasks'!$A$2:$A$224,0)),"BAD ID"))</x:f>
        <x:v>0</x:v>
      </x:c>
    </x:row>
    <x:row r="157" ht="28" customHeight="1">
      <x:c r="A157" s="2" t="str">
        <x:v>COM-ABD-2</x:v>
      </x:c>
      <x:c r="B157" s="2" t="str">
        <x:f>IF(VLOOKUP(A157,'Tasks'!$A$2:$X$224,15,FALSE)="","",VLOOKUP(A157,'Tasks'!$A$2:$X$224,15,FALSE))</x:f>
      </x:c>
      <x:c r="C157" s="13" t="n">
        <x:f>VLOOKUP(A157,'Tasks'!$A$2:$X$224,12,FALSE)</x:f>
        <x:v>46314</x:v>
      </x:c>
      <x:c r="D157" s="2" t="n">
        <x:f>IF(B157="",0,LEN(B157)-LEN(SUBSTITUTE(B157,",",""))+1)</x:f>
        <x:v>0</x:v>
      </x:c>
      <x:c r="E157" s="14" t="n">
        <x:f>MAX(P157:W157)</x:f>
        <x:v>0</x:v>
      </x:c>
      <x:c r="F157" s="2" t="n">
        <x:f>COUNTIFS(P157:W157,"BAD ID")</x:f>
        <x:v>0</x:v>
      </x:c>
      <x:c r="G157" s="2" t="str">
        <x:f>IF(D157&gt;8,"TOO MANY",IF(F157&gt;0,"BAD ID",IF(C157&gt;=E157,"OK","LATE")))</x:f>
        <x:v>OK</x:v>
      </x:c>
      <x:c r="H157" s="2" t="str">
        <x:f>TRIM(MID(SUBSTITUTE($B157,",",REPT(" ",100)),1,100))</x:f>
      </x:c>
      <x:c r="I157" s="2" t="str">
        <x:f>TRIM(MID(SUBSTITUTE($B157,",",REPT(" ",100)),101,100))</x:f>
      </x:c>
      <x:c r="J157" s="2" t="str">
        <x:f>TRIM(MID(SUBSTITUTE($B157,",",REPT(" ",100)),201,100))</x:f>
      </x:c>
      <x:c r="K157" s="2" t="str">
        <x:f>TRIM(MID(SUBSTITUTE($B157,",",REPT(" ",100)),301,100))</x:f>
      </x:c>
      <x:c r="L157" s="2" t="str">
        <x:f>TRIM(MID(SUBSTITUTE($B157,",",REPT(" ",100)),401,100))</x:f>
      </x:c>
      <x:c r="M157" s="2" t="str">
        <x:f>TRIM(MID(SUBSTITUTE($B157,",",REPT(" ",100)),501,100))</x:f>
      </x:c>
      <x:c r="N157" s="2" t="str">
        <x:f>TRIM(MID(SUBSTITUTE($B157,",",REPT(" ",100)),601,100))</x:f>
      </x:c>
      <x:c r="O157" s="2" t="str">
        <x:f>TRIM(MID(SUBSTITUTE($B157,",",REPT(" ",100)),701,100))</x:f>
      </x:c>
      <x:c r="P157" s="14" t="n">
        <x:f>IF(H157="",0,IF(COUNTIFS('Tasks'!$A$2:$A$224,H157)=1,INDEX('Tasks'!$M$2:$M$224,MATCH(H157,'Tasks'!$A$2:$A$224,0)),"BAD ID"))</x:f>
        <x:v>0</x:v>
      </x:c>
      <x:c r="Q157" s="14" t="n">
        <x:f>IF(I157="",0,IF(COUNTIFS('Tasks'!$A$2:$A$224,I157)=1,INDEX('Tasks'!$M$2:$M$224,MATCH(I157,'Tasks'!$A$2:$A$224,0)),"BAD ID"))</x:f>
        <x:v>0</x:v>
      </x:c>
      <x:c r="R157" s="14" t="n">
        <x:f>IF(J157="",0,IF(COUNTIFS('Tasks'!$A$2:$A$224,J157)=1,INDEX('Tasks'!$M$2:$M$224,MATCH(J157,'Tasks'!$A$2:$A$224,0)),"BAD ID"))</x:f>
        <x:v>0</x:v>
      </x:c>
      <x:c r="S157" s="14" t="n">
        <x:f>IF(K157="",0,IF(COUNTIFS('Tasks'!$A$2:$A$224,K157)=1,INDEX('Tasks'!$M$2:$M$224,MATCH(K157,'Tasks'!$A$2:$A$224,0)),"BAD ID"))</x:f>
        <x:v>0</x:v>
      </x:c>
      <x:c r="T157" s="14" t="n">
        <x:f>IF(L157="",0,IF(COUNTIFS('Tasks'!$A$2:$A$224,L157)=1,INDEX('Tasks'!$M$2:$M$224,MATCH(L157,'Tasks'!$A$2:$A$224,0)),"BAD ID"))</x:f>
        <x:v>0</x:v>
      </x:c>
      <x:c r="U157" s="14" t="n">
        <x:f>IF(M157="",0,IF(COUNTIFS('Tasks'!$A$2:$A$224,M157)=1,INDEX('Tasks'!$M$2:$M$224,MATCH(M157,'Tasks'!$A$2:$A$224,0)),"BAD ID"))</x:f>
        <x:v>0</x:v>
      </x:c>
      <x:c r="V157" s="14" t="n">
        <x:f>IF(N157="",0,IF(COUNTIFS('Tasks'!$A$2:$A$224,N157)=1,INDEX('Tasks'!$M$2:$M$224,MATCH(N157,'Tasks'!$A$2:$A$224,0)),"BAD ID"))</x:f>
        <x:v>0</x:v>
      </x:c>
      <x:c r="W157" s="14" t="n">
        <x:f>IF(O157="",0,IF(COUNTIFS('Tasks'!$A$2:$A$224,O157)=1,INDEX('Tasks'!$M$2:$M$224,MATCH(O157,'Tasks'!$A$2:$A$224,0)),"BAD ID"))</x:f>
        <x:v>0</x:v>
      </x:c>
    </x:row>
    <x:row r="158" ht="28" customHeight="1">
      <x:c r="A158" s="2" t="str">
        <x:v>IND-ABD-AI2</x:v>
      </x:c>
      <x:c r="B158" s="2" t="str">
        <x:f>IF(VLOOKUP(A158,'Tasks'!$A$2:$X$224,15,FALSE)="","",VLOOKUP(A158,'Tasks'!$A$2:$X$224,15,FALSE))</x:f>
      </x:c>
      <x:c r="C158" s="13" t="n">
        <x:f>VLOOKUP(A158,'Tasks'!$A$2:$X$224,12,FALSE)</x:f>
        <x:v>46320</x:v>
      </x:c>
      <x:c r="D158" s="2" t="n">
        <x:f>IF(B158="",0,LEN(B158)-LEN(SUBSTITUTE(B158,",",""))+1)</x:f>
        <x:v>0</x:v>
      </x:c>
      <x:c r="E158" s="14" t="n">
        <x:f>MAX(P158:W158)</x:f>
        <x:v>0</x:v>
      </x:c>
      <x:c r="F158" s="2" t="n">
        <x:f>COUNTIFS(P158:W158,"BAD ID")</x:f>
        <x:v>0</x:v>
      </x:c>
      <x:c r="G158" s="2" t="str">
        <x:f>IF(D158&gt;8,"TOO MANY",IF(F158&gt;0,"BAD ID",IF(C158&gt;=E158,"OK","LATE")))</x:f>
        <x:v>OK</x:v>
      </x:c>
      <x:c r="H158" s="2" t="str">
        <x:f>TRIM(MID(SUBSTITUTE($B158,",",REPT(" ",100)),1,100))</x:f>
      </x:c>
      <x:c r="I158" s="2" t="str">
        <x:f>TRIM(MID(SUBSTITUTE($B158,",",REPT(" ",100)),101,100))</x:f>
      </x:c>
      <x:c r="J158" s="2" t="str">
        <x:f>TRIM(MID(SUBSTITUTE($B158,",",REPT(" ",100)),201,100))</x:f>
      </x:c>
      <x:c r="K158" s="2" t="str">
        <x:f>TRIM(MID(SUBSTITUTE($B158,",",REPT(" ",100)),301,100))</x:f>
      </x:c>
      <x:c r="L158" s="2" t="str">
        <x:f>TRIM(MID(SUBSTITUTE($B158,",",REPT(" ",100)),401,100))</x:f>
      </x:c>
      <x:c r="M158" s="2" t="str">
        <x:f>TRIM(MID(SUBSTITUTE($B158,",",REPT(" ",100)),501,100))</x:f>
      </x:c>
      <x:c r="N158" s="2" t="str">
        <x:f>TRIM(MID(SUBSTITUTE($B158,",",REPT(" ",100)),601,100))</x:f>
      </x:c>
      <x:c r="O158" s="2" t="str">
        <x:f>TRIM(MID(SUBSTITUTE($B158,",",REPT(" ",100)),701,100))</x:f>
      </x:c>
      <x:c r="P158" s="14" t="n">
        <x:f>IF(H158="",0,IF(COUNTIFS('Tasks'!$A$2:$A$224,H158)=1,INDEX('Tasks'!$M$2:$M$224,MATCH(H158,'Tasks'!$A$2:$A$224,0)),"BAD ID"))</x:f>
        <x:v>0</x:v>
      </x:c>
      <x:c r="Q158" s="14" t="n">
        <x:f>IF(I158="",0,IF(COUNTIFS('Tasks'!$A$2:$A$224,I158)=1,INDEX('Tasks'!$M$2:$M$224,MATCH(I158,'Tasks'!$A$2:$A$224,0)),"BAD ID"))</x:f>
        <x:v>0</x:v>
      </x:c>
      <x:c r="R158" s="14" t="n">
        <x:f>IF(J158="",0,IF(COUNTIFS('Tasks'!$A$2:$A$224,J158)=1,INDEX('Tasks'!$M$2:$M$224,MATCH(J158,'Tasks'!$A$2:$A$224,0)),"BAD ID"))</x:f>
        <x:v>0</x:v>
      </x:c>
      <x:c r="S158" s="14" t="n">
        <x:f>IF(K158="",0,IF(COUNTIFS('Tasks'!$A$2:$A$224,K158)=1,INDEX('Tasks'!$M$2:$M$224,MATCH(K158,'Tasks'!$A$2:$A$224,0)),"BAD ID"))</x:f>
        <x:v>0</x:v>
      </x:c>
      <x:c r="T158" s="14" t="n">
        <x:f>IF(L158="",0,IF(COUNTIFS('Tasks'!$A$2:$A$224,L158)=1,INDEX('Tasks'!$M$2:$M$224,MATCH(L158,'Tasks'!$A$2:$A$224,0)),"BAD ID"))</x:f>
        <x:v>0</x:v>
      </x:c>
      <x:c r="U158" s="14" t="n">
        <x:f>IF(M158="",0,IF(COUNTIFS('Tasks'!$A$2:$A$224,M158)=1,INDEX('Tasks'!$M$2:$M$224,MATCH(M158,'Tasks'!$A$2:$A$224,0)),"BAD ID"))</x:f>
        <x:v>0</x:v>
      </x:c>
      <x:c r="V158" s="14" t="n">
        <x:f>IF(N158="",0,IF(COUNTIFS('Tasks'!$A$2:$A$224,N158)=1,INDEX('Tasks'!$M$2:$M$224,MATCH(N158,'Tasks'!$A$2:$A$224,0)),"BAD ID"))</x:f>
        <x:v>0</x:v>
      </x:c>
      <x:c r="W158" s="14" t="n">
        <x:f>IF(O158="",0,IF(COUNTIFS('Tasks'!$A$2:$A$224,O158)=1,INDEX('Tasks'!$M$2:$M$224,MATCH(O158,'Tasks'!$A$2:$A$224,0)),"BAD ID"))</x:f>
        <x:v>0</x:v>
      </x:c>
    </x:row>
    <x:row r="159" ht="28" customHeight="1">
      <x:c r="A159" s="2" t="str">
        <x:v>REV-ABD-3</x:v>
      </x:c>
      <x:c r="B159" s="2" t="str">
        <x:f>IF(VLOOKUP(A159,'Tasks'!$A$2:$X$224,15,FALSE)="","",VLOOKUP(A159,'Tasks'!$A$2:$X$224,15,FALSE))</x:f>
        <x:v>PROC-01</x:v>
      </x:c>
      <x:c r="C159" s="13" t="n">
        <x:f>VLOOKUP(A159,'Tasks'!$A$2:$X$224,12,FALSE)</x:f>
        <x:v>46321</x:v>
      </x:c>
      <x:c r="D159" s="2" t="n">
        <x:f>IF(B159="",0,LEN(B159)-LEN(SUBSTITUTE(B159,",",""))+1)</x:f>
        <x:v>1</x:v>
      </x:c>
      <x:c r="E159" s="14" t="n">
        <x:f>MAX(P159:W159)</x:f>
        <x:v>46307</x:v>
      </x:c>
      <x:c r="F159" s="2" t="n">
        <x:f>COUNTIFS(P159:W159,"BAD ID")</x:f>
        <x:v>0</x:v>
      </x:c>
      <x:c r="G159" s="2" t="str">
        <x:f>IF(D159&gt;8,"TOO MANY",IF(F159&gt;0,"BAD ID",IF(C159&gt;=E159,"OK","LATE")))</x:f>
        <x:v>OK</x:v>
      </x:c>
      <x:c r="H159" s="2" t="str">
        <x:f>TRIM(MID(SUBSTITUTE($B159,",",REPT(" ",100)),1,100))</x:f>
        <x:v>PROC-01</x:v>
      </x:c>
      <x:c r="I159" s="2" t="str">
        <x:f>TRIM(MID(SUBSTITUTE($B159,",",REPT(" ",100)),101,100))</x:f>
      </x:c>
      <x:c r="J159" s="2" t="str">
        <x:f>TRIM(MID(SUBSTITUTE($B159,",",REPT(" ",100)),201,100))</x:f>
      </x:c>
      <x:c r="K159" s="2" t="str">
        <x:f>TRIM(MID(SUBSTITUTE($B159,",",REPT(" ",100)),301,100))</x:f>
      </x:c>
      <x:c r="L159" s="2" t="str">
        <x:f>TRIM(MID(SUBSTITUTE($B159,",",REPT(" ",100)),401,100))</x:f>
      </x:c>
      <x:c r="M159" s="2" t="str">
        <x:f>TRIM(MID(SUBSTITUTE($B159,",",REPT(" ",100)),501,100))</x:f>
      </x:c>
      <x:c r="N159" s="2" t="str">
        <x:f>TRIM(MID(SUBSTITUTE($B159,",",REPT(" ",100)),601,100))</x:f>
      </x:c>
      <x:c r="O159" s="2" t="str">
        <x:f>TRIM(MID(SUBSTITUTE($B159,",",REPT(" ",100)),701,100))</x:f>
      </x:c>
      <x:c r="P159" s="14" t="n">
        <x:f>IF(H159="",0,IF(COUNTIFS('Tasks'!$A$2:$A$224,H159)=1,INDEX('Tasks'!$M$2:$M$224,MATCH(H159,'Tasks'!$A$2:$A$224,0)),"BAD ID"))</x:f>
        <x:v>46307</x:v>
      </x:c>
      <x:c r="Q159" s="14" t="n">
        <x:f>IF(I159="",0,IF(COUNTIFS('Tasks'!$A$2:$A$224,I159)=1,INDEX('Tasks'!$M$2:$M$224,MATCH(I159,'Tasks'!$A$2:$A$224,0)),"BAD ID"))</x:f>
        <x:v>0</x:v>
      </x:c>
      <x:c r="R159" s="14" t="n">
        <x:f>IF(J159="",0,IF(COUNTIFS('Tasks'!$A$2:$A$224,J159)=1,INDEX('Tasks'!$M$2:$M$224,MATCH(J159,'Tasks'!$A$2:$A$224,0)),"BAD ID"))</x:f>
        <x:v>0</x:v>
      </x:c>
      <x:c r="S159" s="14" t="n">
        <x:f>IF(K159="",0,IF(COUNTIFS('Tasks'!$A$2:$A$224,K159)=1,INDEX('Tasks'!$M$2:$M$224,MATCH(K159,'Tasks'!$A$2:$A$224,0)),"BAD ID"))</x:f>
        <x:v>0</x:v>
      </x:c>
      <x:c r="T159" s="14" t="n">
        <x:f>IF(L159="",0,IF(COUNTIFS('Tasks'!$A$2:$A$224,L159)=1,INDEX('Tasks'!$M$2:$M$224,MATCH(L159,'Tasks'!$A$2:$A$224,0)),"BAD ID"))</x:f>
        <x:v>0</x:v>
      </x:c>
      <x:c r="U159" s="14" t="n">
        <x:f>IF(M159="",0,IF(COUNTIFS('Tasks'!$A$2:$A$224,M159)=1,INDEX('Tasks'!$M$2:$M$224,MATCH(M159,'Tasks'!$A$2:$A$224,0)),"BAD ID"))</x:f>
        <x:v>0</x:v>
      </x:c>
      <x:c r="V159" s="14" t="n">
        <x:f>IF(N159="",0,IF(COUNTIFS('Tasks'!$A$2:$A$224,N159)=1,INDEX('Tasks'!$M$2:$M$224,MATCH(N159,'Tasks'!$A$2:$A$224,0)),"BAD ID"))</x:f>
        <x:v>0</x:v>
      </x:c>
      <x:c r="W159" s="14" t="n">
        <x:f>IF(O159="",0,IF(COUNTIFS('Tasks'!$A$2:$A$224,O159)=1,INDEX('Tasks'!$M$2:$M$224,MATCH(O159,'Tasks'!$A$2:$A$224,0)),"BAD ID"))</x:f>
        <x:v>0</x:v>
      </x:c>
    </x:row>
    <x:row r="160" ht="28" customHeight="1">
      <x:c r="A160" s="2" t="str">
        <x:v>COM-ABD-3</x:v>
      </x:c>
      <x:c r="B160" s="2" t="str">
        <x:f>IF(VLOOKUP(A160,'Tasks'!$A$2:$X$224,15,FALSE)="","",VLOOKUP(A160,'Tasks'!$A$2:$X$224,15,FALSE))</x:f>
      </x:c>
      <x:c r="C160" s="13" t="n">
        <x:f>VLOOKUP(A160,'Tasks'!$A$2:$X$224,12,FALSE)</x:f>
        <x:v>46321</x:v>
      </x:c>
      <x:c r="D160" s="2" t="n">
        <x:f>IF(B160="",0,LEN(B160)-LEN(SUBSTITUTE(B160,",",""))+1)</x:f>
        <x:v>0</x:v>
      </x:c>
      <x:c r="E160" s="14" t="n">
        <x:f>MAX(P160:W160)</x:f>
        <x:v>0</x:v>
      </x:c>
      <x:c r="F160" s="2" t="n">
        <x:f>COUNTIFS(P160:W160,"BAD ID")</x:f>
        <x:v>0</x:v>
      </x:c>
      <x:c r="G160" s="2" t="str">
        <x:f>IF(D160&gt;8,"TOO MANY",IF(F160&gt;0,"BAD ID",IF(C160&gt;=E160,"OK","LATE")))</x:f>
        <x:v>OK</x:v>
      </x:c>
      <x:c r="H160" s="2" t="str">
        <x:f>TRIM(MID(SUBSTITUTE($B160,",",REPT(" ",100)),1,100))</x:f>
      </x:c>
      <x:c r="I160" s="2" t="str">
        <x:f>TRIM(MID(SUBSTITUTE($B160,",",REPT(" ",100)),101,100))</x:f>
      </x:c>
      <x:c r="J160" s="2" t="str">
        <x:f>TRIM(MID(SUBSTITUTE($B160,",",REPT(" ",100)),201,100))</x:f>
      </x:c>
      <x:c r="K160" s="2" t="str">
        <x:f>TRIM(MID(SUBSTITUTE($B160,",",REPT(" ",100)),301,100))</x:f>
      </x:c>
      <x:c r="L160" s="2" t="str">
        <x:f>TRIM(MID(SUBSTITUTE($B160,",",REPT(" ",100)),401,100))</x:f>
      </x:c>
      <x:c r="M160" s="2" t="str">
        <x:f>TRIM(MID(SUBSTITUTE($B160,",",REPT(" ",100)),501,100))</x:f>
      </x:c>
      <x:c r="N160" s="2" t="str">
        <x:f>TRIM(MID(SUBSTITUTE($B160,",",REPT(" ",100)),601,100))</x:f>
      </x:c>
      <x:c r="O160" s="2" t="str">
        <x:f>TRIM(MID(SUBSTITUTE($B160,",",REPT(" ",100)),701,100))</x:f>
      </x:c>
      <x:c r="P160" s="14" t="n">
        <x:f>IF(H160="",0,IF(COUNTIFS('Tasks'!$A$2:$A$224,H160)=1,INDEX('Tasks'!$M$2:$M$224,MATCH(H160,'Tasks'!$A$2:$A$224,0)),"BAD ID"))</x:f>
        <x:v>0</x:v>
      </x:c>
      <x:c r="Q160" s="14" t="n">
        <x:f>IF(I160="",0,IF(COUNTIFS('Tasks'!$A$2:$A$224,I160)=1,INDEX('Tasks'!$M$2:$M$224,MATCH(I160,'Tasks'!$A$2:$A$224,0)),"BAD ID"))</x:f>
        <x:v>0</x:v>
      </x:c>
      <x:c r="R160" s="14" t="n">
        <x:f>IF(J160="",0,IF(COUNTIFS('Tasks'!$A$2:$A$224,J160)=1,INDEX('Tasks'!$M$2:$M$224,MATCH(J160,'Tasks'!$A$2:$A$224,0)),"BAD ID"))</x:f>
        <x:v>0</x:v>
      </x:c>
      <x:c r="S160" s="14" t="n">
        <x:f>IF(K160="",0,IF(COUNTIFS('Tasks'!$A$2:$A$224,K160)=1,INDEX('Tasks'!$M$2:$M$224,MATCH(K160,'Tasks'!$A$2:$A$224,0)),"BAD ID"))</x:f>
        <x:v>0</x:v>
      </x:c>
      <x:c r="T160" s="14" t="n">
        <x:f>IF(L160="",0,IF(COUNTIFS('Tasks'!$A$2:$A$224,L160)=1,INDEX('Tasks'!$M$2:$M$224,MATCH(L160,'Tasks'!$A$2:$A$224,0)),"BAD ID"))</x:f>
        <x:v>0</x:v>
      </x:c>
      <x:c r="U160" s="14" t="n">
        <x:f>IF(M160="",0,IF(COUNTIFS('Tasks'!$A$2:$A$224,M160)=1,INDEX('Tasks'!$M$2:$M$224,MATCH(M160,'Tasks'!$A$2:$A$224,0)),"BAD ID"))</x:f>
        <x:v>0</x:v>
      </x:c>
      <x:c r="V160" s="14" t="n">
        <x:f>IF(N160="",0,IF(COUNTIFS('Tasks'!$A$2:$A$224,N160)=1,INDEX('Tasks'!$M$2:$M$224,MATCH(N160,'Tasks'!$A$2:$A$224,0)),"BAD ID"))</x:f>
        <x:v>0</x:v>
      </x:c>
      <x:c r="W160" s="14" t="n">
        <x:f>IF(O160="",0,IF(COUNTIFS('Tasks'!$A$2:$A$224,O160)=1,INDEX('Tasks'!$M$2:$M$224,MATCH(O160,'Tasks'!$A$2:$A$224,0)),"BAD ID"))</x:f>
        <x:v>0</x:v>
      </x:c>
    </x:row>
    <x:row r="161" ht="28" customHeight="1">
      <x:c r="A161" s="2" t="str">
        <x:v>IND-ABD-AI3</x:v>
      </x:c>
      <x:c r="B161" s="2" t="str">
        <x:f>IF(VLOOKUP(A161,'Tasks'!$A$2:$X$224,15,FALSE)="","",VLOOKUP(A161,'Tasks'!$A$2:$X$224,15,FALSE))</x:f>
      </x:c>
      <x:c r="C161" s="13" t="n">
        <x:f>VLOOKUP(A161,'Tasks'!$A$2:$X$224,12,FALSE)</x:f>
        <x:v>46326</x:v>
      </x:c>
      <x:c r="D161" s="2" t="n">
        <x:f>IF(B161="",0,LEN(B161)-LEN(SUBSTITUTE(B161,",",""))+1)</x:f>
        <x:v>0</x:v>
      </x:c>
      <x:c r="E161" s="14" t="n">
        <x:f>MAX(P161:W161)</x:f>
        <x:v>0</x:v>
      </x:c>
      <x:c r="F161" s="2" t="n">
        <x:f>COUNTIFS(P161:W161,"BAD ID")</x:f>
        <x:v>0</x:v>
      </x:c>
      <x:c r="G161" s="2" t="str">
        <x:f>IF(D161&gt;8,"TOO MANY",IF(F161&gt;0,"BAD ID",IF(C161&gt;=E161,"OK","LATE")))</x:f>
        <x:v>OK</x:v>
      </x:c>
      <x:c r="H161" s="2" t="str">
        <x:f>TRIM(MID(SUBSTITUTE($B161,",",REPT(" ",100)),1,100))</x:f>
      </x:c>
      <x:c r="I161" s="2" t="str">
        <x:f>TRIM(MID(SUBSTITUTE($B161,",",REPT(" ",100)),101,100))</x:f>
      </x:c>
      <x:c r="J161" s="2" t="str">
        <x:f>TRIM(MID(SUBSTITUTE($B161,",",REPT(" ",100)),201,100))</x:f>
      </x:c>
      <x:c r="K161" s="2" t="str">
        <x:f>TRIM(MID(SUBSTITUTE($B161,",",REPT(" ",100)),301,100))</x:f>
      </x:c>
      <x:c r="L161" s="2" t="str">
        <x:f>TRIM(MID(SUBSTITUTE($B161,",",REPT(" ",100)),401,100))</x:f>
      </x:c>
      <x:c r="M161" s="2" t="str">
        <x:f>TRIM(MID(SUBSTITUTE($B161,",",REPT(" ",100)),501,100))</x:f>
      </x:c>
      <x:c r="N161" s="2" t="str">
        <x:f>TRIM(MID(SUBSTITUTE($B161,",",REPT(" ",100)),601,100))</x:f>
      </x:c>
      <x:c r="O161" s="2" t="str">
        <x:f>TRIM(MID(SUBSTITUTE($B161,",",REPT(" ",100)),701,100))</x:f>
      </x:c>
      <x:c r="P161" s="14" t="n">
        <x:f>IF(H161="",0,IF(COUNTIFS('Tasks'!$A$2:$A$224,H161)=1,INDEX('Tasks'!$M$2:$M$224,MATCH(H161,'Tasks'!$A$2:$A$224,0)),"BAD ID"))</x:f>
        <x:v>0</x:v>
      </x:c>
      <x:c r="Q161" s="14" t="n">
        <x:f>IF(I161="",0,IF(COUNTIFS('Tasks'!$A$2:$A$224,I161)=1,INDEX('Tasks'!$M$2:$M$224,MATCH(I161,'Tasks'!$A$2:$A$224,0)),"BAD ID"))</x:f>
        <x:v>0</x:v>
      </x:c>
      <x:c r="R161" s="14" t="n">
        <x:f>IF(J161="",0,IF(COUNTIFS('Tasks'!$A$2:$A$224,J161)=1,INDEX('Tasks'!$M$2:$M$224,MATCH(J161,'Tasks'!$A$2:$A$224,0)),"BAD ID"))</x:f>
        <x:v>0</x:v>
      </x:c>
      <x:c r="S161" s="14" t="n">
        <x:f>IF(K161="",0,IF(COUNTIFS('Tasks'!$A$2:$A$224,K161)=1,INDEX('Tasks'!$M$2:$M$224,MATCH(K161,'Tasks'!$A$2:$A$224,0)),"BAD ID"))</x:f>
        <x:v>0</x:v>
      </x:c>
      <x:c r="T161" s="14" t="n">
        <x:f>IF(L161="",0,IF(COUNTIFS('Tasks'!$A$2:$A$224,L161)=1,INDEX('Tasks'!$M$2:$M$224,MATCH(L161,'Tasks'!$A$2:$A$224,0)),"BAD ID"))</x:f>
        <x:v>0</x:v>
      </x:c>
      <x:c r="U161" s="14" t="n">
        <x:f>IF(M161="",0,IF(COUNTIFS('Tasks'!$A$2:$A$224,M161)=1,INDEX('Tasks'!$M$2:$M$224,MATCH(M161,'Tasks'!$A$2:$A$224,0)),"BAD ID"))</x:f>
        <x:v>0</x:v>
      </x:c>
      <x:c r="V161" s="14" t="n">
        <x:f>IF(N161="",0,IF(COUNTIFS('Tasks'!$A$2:$A$224,N161)=1,INDEX('Tasks'!$M$2:$M$224,MATCH(N161,'Tasks'!$A$2:$A$224,0)),"BAD ID"))</x:f>
        <x:v>0</x:v>
      </x:c>
      <x:c r="W161" s="14" t="n">
        <x:f>IF(O161="",0,IF(COUNTIFS('Tasks'!$A$2:$A$224,O161)=1,INDEX('Tasks'!$M$2:$M$224,MATCH(O161,'Tasks'!$A$2:$A$224,0)),"BAD ID"))</x:f>
        <x:v>0</x:v>
      </x:c>
    </x:row>
    <x:row r="162" ht="28" customHeight="1">
      <x:c r="A162" s="2" t="str">
        <x:v>IND-ABD-REF</x:v>
      </x:c>
      <x:c r="B162" s="2" t="str">
        <x:f>IF(VLOOKUP(A162,'Tasks'!$A$2:$X$224,15,FALSE)="","",VLOOKUP(A162,'Tasks'!$A$2:$X$224,15,FALSE))</x:f>
      </x:c>
      <x:c r="C162" s="13" t="n">
        <x:f>VLOOKUP(A162,'Tasks'!$A$2:$X$224,12,FALSE)</x:f>
        <x:v>46325</x:v>
      </x:c>
      <x:c r="D162" s="2" t="n">
        <x:f>IF(B162="",0,LEN(B162)-LEN(SUBSTITUTE(B162,",",""))+1)</x:f>
        <x:v>0</x:v>
      </x:c>
      <x:c r="E162" s="14" t="n">
        <x:f>MAX(P162:W162)</x:f>
        <x:v>0</x:v>
      </x:c>
      <x:c r="F162" s="2" t="n">
        <x:f>COUNTIFS(P162:W162,"BAD ID")</x:f>
        <x:v>0</x:v>
      </x:c>
      <x:c r="G162" s="2" t="str">
        <x:f>IF(D162&gt;8,"TOO MANY",IF(F162&gt;0,"BAD ID",IF(C162&gt;=E162,"OK","LATE")))</x:f>
        <x:v>OK</x:v>
      </x:c>
      <x:c r="H162" s="2" t="str">
        <x:f>TRIM(MID(SUBSTITUTE($B162,",",REPT(" ",100)),1,100))</x:f>
      </x:c>
      <x:c r="I162" s="2" t="str">
        <x:f>TRIM(MID(SUBSTITUTE($B162,",",REPT(" ",100)),101,100))</x:f>
      </x:c>
      <x:c r="J162" s="2" t="str">
        <x:f>TRIM(MID(SUBSTITUTE($B162,",",REPT(" ",100)),201,100))</x:f>
      </x:c>
      <x:c r="K162" s="2" t="str">
        <x:f>TRIM(MID(SUBSTITUTE($B162,",",REPT(" ",100)),301,100))</x:f>
      </x:c>
      <x:c r="L162" s="2" t="str">
        <x:f>TRIM(MID(SUBSTITUTE($B162,",",REPT(" ",100)),401,100))</x:f>
      </x:c>
      <x:c r="M162" s="2" t="str">
        <x:f>TRIM(MID(SUBSTITUTE($B162,",",REPT(" ",100)),501,100))</x:f>
      </x:c>
      <x:c r="N162" s="2" t="str">
        <x:f>TRIM(MID(SUBSTITUTE($B162,",",REPT(" ",100)),601,100))</x:f>
      </x:c>
      <x:c r="O162" s="2" t="str">
        <x:f>TRIM(MID(SUBSTITUTE($B162,",",REPT(" ",100)),701,100))</x:f>
      </x:c>
      <x:c r="P162" s="14" t="n">
        <x:f>IF(H162="",0,IF(COUNTIFS('Tasks'!$A$2:$A$224,H162)=1,INDEX('Tasks'!$M$2:$M$224,MATCH(H162,'Tasks'!$A$2:$A$224,0)),"BAD ID"))</x:f>
        <x:v>0</x:v>
      </x:c>
      <x:c r="Q162" s="14" t="n">
        <x:f>IF(I162="",0,IF(COUNTIFS('Tasks'!$A$2:$A$224,I162)=1,INDEX('Tasks'!$M$2:$M$224,MATCH(I162,'Tasks'!$A$2:$A$224,0)),"BAD ID"))</x:f>
        <x:v>0</x:v>
      </x:c>
      <x:c r="R162" s="14" t="n">
        <x:f>IF(J162="",0,IF(COUNTIFS('Tasks'!$A$2:$A$224,J162)=1,INDEX('Tasks'!$M$2:$M$224,MATCH(J162,'Tasks'!$A$2:$A$224,0)),"BAD ID"))</x:f>
        <x:v>0</x:v>
      </x:c>
      <x:c r="S162" s="14" t="n">
        <x:f>IF(K162="",0,IF(COUNTIFS('Tasks'!$A$2:$A$224,K162)=1,INDEX('Tasks'!$M$2:$M$224,MATCH(K162,'Tasks'!$A$2:$A$224,0)),"BAD ID"))</x:f>
        <x:v>0</x:v>
      </x:c>
      <x:c r="T162" s="14" t="n">
        <x:f>IF(L162="",0,IF(COUNTIFS('Tasks'!$A$2:$A$224,L162)=1,INDEX('Tasks'!$M$2:$M$224,MATCH(L162,'Tasks'!$A$2:$A$224,0)),"BAD ID"))</x:f>
        <x:v>0</x:v>
      </x:c>
      <x:c r="U162" s="14" t="n">
        <x:f>IF(M162="",0,IF(COUNTIFS('Tasks'!$A$2:$A$224,M162)=1,INDEX('Tasks'!$M$2:$M$224,MATCH(M162,'Tasks'!$A$2:$A$224,0)),"BAD ID"))</x:f>
        <x:v>0</x:v>
      </x:c>
      <x:c r="V162" s="14" t="n">
        <x:f>IF(N162="",0,IF(COUNTIFS('Tasks'!$A$2:$A$224,N162)=1,INDEX('Tasks'!$M$2:$M$224,MATCH(N162,'Tasks'!$A$2:$A$224,0)),"BAD ID"))</x:f>
        <x:v>0</x:v>
      </x:c>
      <x:c r="W162" s="14" t="n">
        <x:f>IF(O162="",0,IF(COUNTIFS('Tasks'!$A$2:$A$224,O162)=1,INDEX('Tasks'!$M$2:$M$224,MATCH(O162,'Tasks'!$A$2:$A$224,0)),"BAD ID"))</x:f>
        <x:v>0</x:v>
      </x:c>
    </x:row>
    <x:row r="163" ht="28" customHeight="1">
      <x:c r="A163" s="2" t="str">
        <x:v>IND-ABD-PEER</x:v>
      </x:c>
      <x:c r="B163" s="2" t="str">
        <x:f>IF(VLOOKUP(A163,'Tasks'!$A$2:$X$224,15,FALSE)="","",VLOOKUP(A163,'Tasks'!$A$2:$X$224,15,FALSE))</x:f>
      </x:c>
      <x:c r="C163" s="13" t="n">
        <x:f>VLOOKUP(A163,'Tasks'!$A$2:$X$224,12,FALSE)</x:f>
        <x:v>46326</x:v>
      </x:c>
      <x:c r="D163" s="2" t="n">
        <x:f>IF(B163="",0,LEN(B163)-LEN(SUBSTITUTE(B163,",",""))+1)</x:f>
        <x:v>0</x:v>
      </x:c>
      <x:c r="E163" s="14" t="n">
        <x:f>MAX(P163:W163)</x:f>
        <x:v>0</x:v>
      </x:c>
      <x:c r="F163" s="2" t="n">
        <x:f>COUNTIFS(P163:W163,"BAD ID")</x:f>
        <x:v>0</x:v>
      </x:c>
      <x:c r="G163" s="2" t="str">
        <x:f>IF(D163&gt;8,"TOO MANY",IF(F163&gt;0,"BAD ID",IF(C163&gt;=E163,"OK","LATE")))</x:f>
        <x:v>OK</x:v>
      </x:c>
      <x:c r="H163" s="2" t="str">
        <x:f>TRIM(MID(SUBSTITUTE($B163,",",REPT(" ",100)),1,100))</x:f>
      </x:c>
      <x:c r="I163" s="2" t="str">
        <x:f>TRIM(MID(SUBSTITUTE($B163,",",REPT(" ",100)),101,100))</x:f>
      </x:c>
      <x:c r="J163" s="2" t="str">
        <x:f>TRIM(MID(SUBSTITUTE($B163,",",REPT(" ",100)),201,100))</x:f>
      </x:c>
      <x:c r="K163" s="2" t="str">
        <x:f>TRIM(MID(SUBSTITUTE($B163,",",REPT(" ",100)),301,100))</x:f>
      </x:c>
      <x:c r="L163" s="2" t="str">
        <x:f>TRIM(MID(SUBSTITUTE($B163,",",REPT(" ",100)),401,100))</x:f>
      </x:c>
      <x:c r="M163" s="2" t="str">
        <x:f>TRIM(MID(SUBSTITUTE($B163,",",REPT(" ",100)),501,100))</x:f>
      </x:c>
      <x:c r="N163" s="2" t="str">
        <x:f>TRIM(MID(SUBSTITUTE($B163,",",REPT(" ",100)),601,100))</x:f>
      </x:c>
      <x:c r="O163" s="2" t="str">
        <x:f>TRIM(MID(SUBSTITUTE($B163,",",REPT(" ",100)),701,100))</x:f>
      </x:c>
      <x:c r="P163" s="14" t="n">
        <x:f>IF(H163="",0,IF(COUNTIFS('Tasks'!$A$2:$A$224,H163)=1,INDEX('Tasks'!$M$2:$M$224,MATCH(H163,'Tasks'!$A$2:$A$224,0)),"BAD ID"))</x:f>
        <x:v>0</x:v>
      </x:c>
      <x:c r="Q163" s="14" t="n">
        <x:f>IF(I163="",0,IF(COUNTIFS('Tasks'!$A$2:$A$224,I163)=1,INDEX('Tasks'!$M$2:$M$224,MATCH(I163,'Tasks'!$A$2:$A$224,0)),"BAD ID"))</x:f>
        <x:v>0</x:v>
      </x:c>
      <x:c r="R163" s="14" t="n">
        <x:f>IF(J163="",0,IF(COUNTIFS('Tasks'!$A$2:$A$224,J163)=1,INDEX('Tasks'!$M$2:$M$224,MATCH(J163,'Tasks'!$A$2:$A$224,0)),"BAD ID"))</x:f>
        <x:v>0</x:v>
      </x:c>
      <x:c r="S163" s="14" t="n">
        <x:f>IF(K163="",0,IF(COUNTIFS('Tasks'!$A$2:$A$224,K163)=1,INDEX('Tasks'!$M$2:$M$224,MATCH(K163,'Tasks'!$A$2:$A$224,0)),"BAD ID"))</x:f>
        <x:v>0</x:v>
      </x:c>
      <x:c r="T163" s="14" t="n">
        <x:f>IF(L163="",0,IF(COUNTIFS('Tasks'!$A$2:$A$224,L163)=1,INDEX('Tasks'!$M$2:$M$224,MATCH(L163,'Tasks'!$A$2:$A$224,0)),"BAD ID"))</x:f>
        <x:v>0</x:v>
      </x:c>
      <x:c r="U163" s="14" t="n">
        <x:f>IF(M163="",0,IF(COUNTIFS('Tasks'!$A$2:$A$224,M163)=1,INDEX('Tasks'!$M$2:$M$224,MATCH(M163,'Tasks'!$A$2:$A$224,0)),"BAD ID"))</x:f>
        <x:v>0</x:v>
      </x:c>
      <x:c r="V163" s="14" t="n">
        <x:f>IF(N163="",0,IF(COUNTIFS('Tasks'!$A$2:$A$224,N163)=1,INDEX('Tasks'!$M$2:$M$224,MATCH(N163,'Tasks'!$A$2:$A$224,0)),"BAD ID"))</x:f>
        <x:v>0</x:v>
      </x:c>
      <x:c r="W163" s="14" t="n">
        <x:f>IF(O163="",0,IF(COUNTIFS('Tasks'!$A$2:$A$224,O163)=1,INDEX('Tasks'!$M$2:$M$224,MATCH(O163,'Tasks'!$A$2:$A$224,0)),"BAD ID"))</x:f>
        <x:v>0</x:v>
      </x:c>
    </x:row>
    <x:row r="164" ht="28" customHeight="1">
      <x:c r="A164" s="2" t="str">
        <x:v>IND-ABD-SPARK</x:v>
      </x:c>
      <x:c r="B164" s="2" t="str">
        <x:f>IF(VLOOKUP(A164,'Tasks'!$A$2:$X$224,15,FALSE)="","",VLOOKUP(A164,'Tasks'!$A$2:$X$224,15,FALSE))</x:f>
      </x:c>
      <x:c r="C164" s="13" t="n">
        <x:f>VLOOKUP(A164,'Tasks'!$A$2:$X$224,12,FALSE)</x:f>
        <x:v>46326</x:v>
      </x:c>
      <x:c r="D164" s="2" t="n">
        <x:f>IF(B164="",0,LEN(B164)-LEN(SUBSTITUTE(B164,",",""))+1)</x:f>
        <x:v>0</x:v>
      </x:c>
      <x:c r="E164" s="14" t="n">
        <x:f>MAX(P164:W164)</x:f>
        <x:v>0</x:v>
      </x:c>
      <x:c r="F164" s="2" t="n">
        <x:f>COUNTIFS(P164:W164,"BAD ID")</x:f>
        <x:v>0</x:v>
      </x:c>
      <x:c r="G164" s="2" t="str">
        <x:f>IF(D164&gt;8,"TOO MANY",IF(F164&gt;0,"BAD ID",IF(C164&gt;=E164,"OK","LATE")))</x:f>
        <x:v>OK</x:v>
      </x:c>
      <x:c r="H164" s="2" t="str">
        <x:f>TRIM(MID(SUBSTITUTE($B164,",",REPT(" ",100)),1,100))</x:f>
      </x:c>
      <x:c r="I164" s="2" t="str">
        <x:f>TRIM(MID(SUBSTITUTE($B164,",",REPT(" ",100)),101,100))</x:f>
      </x:c>
      <x:c r="J164" s="2" t="str">
        <x:f>TRIM(MID(SUBSTITUTE($B164,",",REPT(" ",100)),201,100))</x:f>
      </x:c>
      <x:c r="K164" s="2" t="str">
        <x:f>TRIM(MID(SUBSTITUTE($B164,",",REPT(" ",100)),301,100))</x:f>
      </x:c>
      <x:c r="L164" s="2" t="str">
        <x:f>TRIM(MID(SUBSTITUTE($B164,",",REPT(" ",100)),401,100))</x:f>
      </x:c>
      <x:c r="M164" s="2" t="str">
        <x:f>TRIM(MID(SUBSTITUTE($B164,",",REPT(" ",100)),501,100))</x:f>
      </x:c>
      <x:c r="N164" s="2" t="str">
        <x:f>TRIM(MID(SUBSTITUTE($B164,",",REPT(" ",100)),601,100))</x:f>
      </x:c>
      <x:c r="O164" s="2" t="str">
        <x:f>TRIM(MID(SUBSTITUTE($B164,",",REPT(" ",100)),701,100))</x:f>
      </x:c>
      <x:c r="P164" s="14" t="n">
        <x:f>IF(H164="",0,IF(COUNTIFS('Tasks'!$A$2:$A$224,H164)=1,INDEX('Tasks'!$M$2:$M$224,MATCH(H164,'Tasks'!$A$2:$A$224,0)),"BAD ID"))</x:f>
        <x:v>0</x:v>
      </x:c>
      <x:c r="Q164" s="14" t="n">
        <x:f>IF(I164="",0,IF(COUNTIFS('Tasks'!$A$2:$A$224,I164)=1,INDEX('Tasks'!$M$2:$M$224,MATCH(I164,'Tasks'!$A$2:$A$224,0)),"BAD ID"))</x:f>
        <x:v>0</x:v>
      </x:c>
      <x:c r="R164" s="14" t="n">
        <x:f>IF(J164="",0,IF(COUNTIFS('Tasks'!$A$2:$A$224,J164)=1,INDEX('Tasks'!$M$2:$M$224,MATCH(J164,'Tasks'!$A$2:$A$224,0)),"BAD ID"))</x:f>
        <x:v>0</x:v>
      </x:c>
      <x:c r="S164" s="14" t="n">
        <x:f>IF(K164="",0,IF(COUNTIFS('Tasks'!$A$2:$A$224,K164)=1,INDEX('Tasks'!$M$2:$M$224,MATCH(K164,'Tasks'!$A$2:$A$224,0)),"BAD ID"))</x:f>
        <x:v>0</x:v>
      </x:c>
      <x:c r="T164" s="14" t="n">
        <x:f>IF(L164="",0,IF(COUNTIFS('Tasks'!$A$2:$A$224,L164)=1,INDEX('Tasks'!$M$2:$M$224,MATCH(L164,'Tasks'!$A$2:$A$224,0)),"BAD ID"))</x:f>
        <x:v>0</x:v>
      </x:c>
      <x:c r="U164" s="14" t="n">
        <x:f>IF(M164="",0,IF(COUNTIFS('Tasks'!$A$2:$A$224,M164)=1,INDEX('Tasks'!$M$2:$M$224,MATCH(M164,'Tasks'!$A$2:$A$224,0)),"BAD ID"))</x:f>
        <x:v>0</x:v>
      </x:c>
      <x:c r="V164" s="14" t="n">
        <x:f>IF(N164="",0,IF(COUNTIFS('Tasks'!$A$2:$A$224,N164)=1,INDEX('Tasks'!$M$2:$M$224,MATCH(N164,'Tasks'!$A$2:$A$224,0)),"BAD ID"))</x:f>
        <x:v>0</x:v>
      </x:c>
      <x:c r="W164" s="14" t="n">
        <x:f>IF(O164="",0,IF(COUNTIFS('Tasks'!$A$2:$A$224,O164)=1,INDEX('Tasks'!$M$2:$M$224,MATCH(O164,'Tasks'!$A$2:$A$224,0)),"BAD ID"))</x:f>
        <x:v>0</x:v>
      </x:c>
    </x:row>
    <x:row r="165" ht="28" customHeight="1">
      <x:c r="A165" s="2" t="str">
        <x:v>DEMO-ABD-R2</x:v>
      </x:c>
      <x:c r="B165" s="2" t="str">
        <x:f>IF(VLOOKUP(A165,'Tasks'!$A$2:$X$224,15,FALSE)="","",VLOOKUP(A165,'Tasks'!$A$2:$X$224,15,FALSE))</x:f>
        <x:v>DEMO-03</x:v>
      </x:c>
      <x:c r="C165" s="13" t="n">
        <x:f>VLOOKUP(A165,'Tasks'!$A$2:$X$224,12,FALSE)</x:f>
        <x:v>46326</x:v>
      </x:c>
      <x:c r="D165" s="2" t="n">
        <x:f>IF(B165="",0,LEN(B165)-LEN(SUBSTITUTE(B165,",",""))+1)</x:f>
        <x:v>1</x:v>
      </x:c>
      <x:c r="E165" s="14" t="n">
        <x:f>MAX(P165:W165)</x:f>
        <x:v>46325</x:v>
      </x:c>
      <x:c r="F165" s="2" t="n">
        <x:f>COUNTIFS(P165:W165,"BAD ID")</x:f>
        <x:v>0</x:v>
      </x:c>
      <x:c r="G165" s="2" t="str">
        <x:f>IF(D165&gt;8,"TOO MANY",IF(F165&gt;0,"BAD ID",IF(C165&gt;=E165,"OK","LATE")))</x:f>
        <x:v>OK</x:v>
      </x:c>
      <x:c r="H165" s="2" t="str">
        <x:f>TRIM(MID(SUBSTITUTE($B165,",",REPT(" ",100)),1,100))</x:f>
        <x:v>DEMO-03</x:v>
      </x:c>
      <x:c r="I165" s="2" t="str">
        <x:f>TRIM(MID(SUBSTITUTE($B165,",",REPT(" ",100)),101,100))</x:f>
      </x:c>
      <x:c r="J165" s="2" t="str">
        <x:f>TRIM(MID(SUBSTITUTE($B165,",",REPT(" ",100)),201,100))</x:f>
      </x:c>
      <x:c r="K165" s="2" t="str">
        <x:f>TRIM(MID(SUBSTITUTE($B165,",",REPT(" ",100)),301,100))</x:f>
      </x:c>
      <x:c r="L165" s="2" t="str">
        <x:f>TRIM(MID(SUBSTITUTE($B165,",",REPT(" ",100)),401,100))</x:f>
      </x:c>
      <x:c r="M165" s="2" t="str">
        <x:f>TRIM(MID(SUBSTITUTE($B165,",",REPT(" ",100)),501,100))</x:f>
      </x:c>
      <x:c r="N165" s="2" t="str">
        <x:f>TRIM(MID(SUBSTITUTE($B165,",",REPT(" ",100)),601,100))</x:f>
      </x:c>
      <x:c r="O165" s="2" t="str">
        <x:f>TRIM(MID(SUBSTITUTE($B165,",",REPT(" ",100)),701,100))</x:f>
      </x:c>
      <x:c r="P165" s="14" t="n">
        <x:f>IF(H165="",0,IF(COUNTIFS('Tasks'!$A$2:$A$224,H165)=1,INDEX('Tasks'!$M$2:$M$224,MATCH(H165,'Tasks'!$A$2:$A$224,0)),"BAD ID"))</x:f>
        <x:v>46325</x:v>
      </x:c>
      <x:c r="Q165" s="14" t="n">
        <x:f>IF(I165="",0,IF(COUNTIFS('Tasks'!$A$2:$A$224,I165)=1,INDEX('Tasks'!$M$2:$M$224,MATCH(I165,'Tasks'!$A$2:$A$224,0)),"BAD ID"))</x:f>
        <x:v>0</x:v>
      </x:c>
      <x:c r="R165" s="14" t="n">
        <x:f>IF(J165="",0,IF(COUNTIFS('Tasks'!$A$2:$A$224,J165)=1,INDEX('Tasks'!$M$2:$M$224,MATCH(J165,'Tasks'!$A$2:$A$224,0)),"BAD ID"))</x:f>
        <x:v>0</x:v>
      </x:c>
      <x:c r="S165" s="14" t="n">
        <x:f>IF(K165="",0,IF(COUNTIFS('Tasks'!$A$2:$A$224,K165)=1,INDEX('Tasks'!$M$2:$M$224,MATCH(K165,'Tasks'!$A$2:$A$224,0)),"BAD ID"))</x:f>
        <x:v>0</x:v>
      </x:c>
      <x:c r="T165" s="14" t="n">
        <x:f>IF(L165="",0,IF(COUNTIFS('Tasks'!$A$2:$A$224,L165)=1,INDEX('Tasks'!$M$2:$M$224,MATCH(L165,'Tasks'!$A$2:$A$224,0)),"BAD ID"))</x:f>
        <x:v>0</x:v>
      </x:c>
      <x:c r="U165" s="14" t="n">
        <x:f>IF(M165="",0,IF(COUNTIFS('Tasks'!$A$2:$A$224,M165)=1,INDEX('Tasks'!$M$2:$M$224,MATCH(M165,'Tasks'!$A$2:$A$224,0)),"BAD ID"))</x:f>
        <x:v>0</x:v>
      </x:c>
      <x:c r="V165" s="14" t="n">
        <x:f>IF(N165="",0,IF(COUNTIFS('Tasks'!$A$2:$A$224,N165)=1,INDEX('Tasks'!$M$2:$M$224,MATCH(N165,'Tasks'!$A$2:$A$224,0)),"BAD ID"))</x:f>
        <x:v>0</x:v>
      </x:c>
      <x:c r="W165" s="14" t="n">
        <x:f>IF(O165="",0,IF(COUNTIFS('Tasks'!$A$2:$A$224,O165)=1,INDEX('Tasks'!$M$2:$M$224,MATCH(O165,'Tasks'!$A$2:$A$224,0)),"BAD ID"))</x:f>
        <x:v>0</x:v>
      </x:c>
    </x:row>
    <x:row r="166" ht="28" customHeight="1">
      <x:c r="A166" s="2" t="str">
        <x:v>REV-RIC-1</x:v>
      </x:c>
      <x:c r="B166" s="2" t="str">
        <x:f>IF(VLOOKUP(A166,'Tasks'!$A$2:$X$224,15,FALSE)="","",VLOOKUP(A166,'Tasks'!$A$2:$X$224,15,FALSE))</x:f>
        <x:v>PROC-01</x:v>
      </x:c>
      <x:c r="C166" s="13" t="n">
        <x:f>VLOOKUP(A166,'Tasks'!$A$2:$X$224,12,FALSE)</x:f>
        <x:v>46307</x:v>
      </x:c>
      <x:c r="D166" s="2" t="n">
        <x:f>IF(B166="",0,LEN(B166)-LEN(SUBSTITUTE(B166,",",""))+1)</x:f>
        <x:v>1</x:v>
      </x:c>
      <x:c r="E166" s="14" t="n">
        <x:f>MAX(P166:W166)</x:f>
        <x:v>46307</x:v>
      </x:c>
      <x:c r="F166" s="2" t="n">
        <x:f>COUNTIFS(P166:W166,"BAD ID")</x:f>
        <x:v>0</x:v>
      </x:c>
      <x:c r="G166" s="2" t="str">
        <x:f>IF(D166&gt;8,"TOO MANY",IF(F166&gt;0,"BAD ID",IF(C166&gt;=E166,"OK","LATE")))</x:f>
        <x:v>OK</x:v>
      </x:c>
      <x:c r="H166" s="2" t="str">
        <x:f>TRIM(MID(SUBSTITUTE($B166,",",REPT(" ",100)),1,100))</x:f>
        <x:v>PROC-01</x:v>
      </x:c>
      <x:c r="I166" s="2" t="str">
        <x:f>TRIM(MID(SUBSTITUTE($B166,",",REPT(" ",100)),101,100))</x:f>
      </x:c>
      <x:c r="J166" s="2" t="str">
        <x:f>TRIM(MID(SUBSTITUTE($B166,",",REPT(" ",100)),201,100))</x:f>
      </x:c>
      <x:c r="K166" s="2" t="str">
        <x:f>TRIM(MID(SUBSTITUTE($B166,",",REPT(" ",100)),301,100))</x:f>
      </x:c>
      <x:c r="L166" s="2" t="str">
        <x:f>TRIM(MID(SUBSTITUTE($B166,",",REPT(" ",100)),401,100))</x:f>
      </x:c>
      <x:c r="M166" s="2" t="str">
        <x:f>TRIM(MID(SUBSTITUTE($B166,",",REPT(" ",100)),501,100))</x:f>
      </x:c>
      <x:c r="N166" s="2" t="str">
        <x:f>TRIM(MID(SUBSTITUTE($B166,",",REPT(" ",100)),601,100))</x:f>
      </x:c>
      <x:c r="O166" s="2" t="str">
        <x:f>TRIM(MID(SUBSTITUTE($B166,",",REPT(" ",100)),701,100))</x:f>
      </x:c>
      <x:c r="P166" s="14" t="n">
        <x:f>IF(H166="",0,IF(COUNTIFS('Tasks'!$A$2:$A$224,H166)=1,INDEX('Tasks'!$M$2:$M$224,MATCH(H166,'Tasks'!$A$2:$A$224,0)),"BAD ID"))</x:f>
        <x:v>46307</x:v>
      </x:c>
      <x:c r="Q166" s="14" t="n">
        <x:f>IF(I166="",0,IF(COUNTIFS('Tasks'!$A$2:$A$224,I166)=1,INDEX('Tasks'!$M$2:$M$224,MATCH(I166,'Tasks'!$A$2:$A$224,0)),"BAD ID"))</x:f>
        <x:v>0</x:v>
      </x:c>
      <x:c r="R166" s="14" t="n">
        <x:f>IF(J166="",0,IF(COUNTIFS('Tasks'!$A$2:$A$224,J166)=1,INDEX('Tasks'!$M$2:$M$224,MATCH(J166,'Tasks'!$A$2:$A$224,0)),"BAD ID"))</x:f>
        <x:v>0</x:v>
      </x:c>
      <x:c r="S166" s="14" t="n">
        <x:f>IF(K166="",0,IF(COUNTIFS('Tasks'!$A$2:$A$224,K166)=1,INDEX('Tasks'!$M$2:$M$224,MATCH(K166,'Tasks'!$A$2:$A$224,0)),"BAD ID"))</x:f>
        <x:v>0</x:v>
      </x:c>
      <x:c r="T166" s="14" t="n">
        <x:f>IF(L166="",0,IF(COUNTIFS('Tasks'!$A$2:$A$224,L166)=1,INDEX('Tasks'!$M$2:$M$224,MATCH(L166,'Tasks'!$A$2:$A$224,0)),"BAD ID"))</x:f>
        <x:v>0</x:v>
      </x:c>
      <x:c r="U166" s="14" t="n">
        <x:f>IF(M166="",0,IF(COUNTIFS('Tasks'!$A$2:$A$224,M166)=1,INDEX('Tasks'!$M$2:$M$224,MATCH(M166,'Tasks'!$A$2:$A$224,0)),"BAD ID"))</x:f>
        <x:v>0</x:v>
      </x:c>
      <x:c r="V166" s="14" t="n">
        <x:f>IF(N166="",0,IF(COUNTIFS('Tasks'!$A$2:$A$224,N166)=1,INDEX('Tasks'!$M$2:$M$224,MATCH(N166,'Tasks'!$A$2:$A$224,0)),"BAD ID"))</x:f>
        <x:v>0</x:v>
      </x:c>
      <x:c r="W166" s="14" t="n">
        <x:f>IF(O166="",0,IF(COUNTIFS('Tasks'!$A$2:$A$224,O166)=1,INDEX('Tasks'!$M$2:$M$224,MATCH(O166,'Tasks'!$A$2:$A$224,0)),"BAD ID"))</x:f>
        <x:v>0</x:v>
      </x:c>
    </x:row>
    <x:row r="167" ht="28" customHeight="1">
      <x:c r="A167" s="2" t="str">
        <x:v>COM-RIC-1</x:v>
      </x:c>
      <x:c r="B167" s="2" t="str">
        <x:f>IF(VLOOKUP(A167,'Tasks'!$A$2:$X$224,15,FALSE)="","",VLOOKUP(A167,'Tasks'!$A$2:$X$224,15,FALSE))</x:f>
      </x:c>
      <x:c r="C167" s="13" t="n">
        <x:f>VLOOKUP(A167,'Tasks'!$A$2:$X$224,12,FALSE)</x:f>
        <x:v>46307</x:v>
      </x:c>
      <x:c r="D167" s="2" t="n">
        <x:f>IF(B167="",0,LEN(B167)-LEN(SUBSTITUTE(B167,",",""))+1)</x:f>
        <x:v>0</x:v>
      </x:c>
      <x:c r="E167" s="14" t="n">
        <x:f>MAX(P167:W167)</x:f>
        <x:v>0</x:v>
      </x:c>
      <x:c r="F167" s="2" t="n">
        <x:f>COUNTIFS(P167:W167,"BAD ID")</x:f>
        <x:v>0</x:v>
      </x:c>
      <x:c r="G167" s="2" t="str">
        <x:f>IF(D167&gt;8,"TOO MANY",IF(F167&gt;0,"BAD ID",IF(C167&gt;=E167,"OK","LATE")))</x:f>
        <x:v>OK</x:v>
      </x:c>
      <x:c r="H167" s="2" t="str">
        <x:f>TRIM(MID(SUBSTITUTE($B167,",",REPT(" ",100)),1,100))</x:f>
      </x:c>
      <x:c r="I167" s="2" t="str">
        <x:f>TRIM(MID(SUBSTITUTE($B167,",",REPT(" ",100)),101,100))</x:f>
      </x:c>
      <x:c r="J167" s="2" t="str">
        <x:f>TRIM(MID(SUBSTITUTE($B167,",",REPT(" ",100)),201,100))</x:f>
      </x:c>
      <x:c r="K167" s="2" t="str">
        <x:f>TRIM(MID(SUBSTITUTE($B167,",",REPT(" ",100)),301,100))</x:f>
      </x:c>
      <x:c r="L167" s="2" t="str">
        <x:f>TRIM(MID(SUBSTITUTE($B167,",",REPT(" ",100)),401,100))</x:f>
      </x:c>
      <x:c r="M167" s="2" t="str">
        <x:f>TRIM(MID(SUBSTITUTE($B167,",",REPT(" ",100)),501,100))</x:f>
      </x:c>
      <x:c r="N167" s="2" t="str">
        <x:f>TRIM(MID(SUBSTITUTE($B167,",",REPT(" ",100)),601,100))</x:f>
      </x:c>
      <x:c r="O167" s="2" t="str">
        <x:f>TRIM(MID(SUBSTITUTE($B167,",",REPT(" ",100)),701,100))</x:f>
      </x:c>
      <x:c r="P167" s="14" t="n">
        <x:f>IF(H167="",0,IF(COUNTIFS('Tasks'!$A$2:$A$224,H167)=1,INDEX('Tasks'!$M$2:$M$224,MATCH(H167,'Tasks'!$A$2:$A$224,0)),"BAD ID"))</x:f>
        <x:v>0</x:v>
      </x:c>
      <x:c r="Q167" s="14" t="n">
        <x:f>IF(I167="",0,IF(COUNTIFS('Tasks'!$A$2:$A$224,I167)=1,INDEX('Tasks'!$M$2:$M$224,MATCH(I167,'Tasks'!$A$2:$A$224,0)),"BAD ID"))</x:f>
        <x:v>0</x:v>
      </x:c>
      <x:c r="R167" s="14" t="n">
        <x:f>IF(J167="",0,IF(COUNTIFS('Tasks'!$A$2:$A$224,J167)=1,INDEX('Tasks'!$M$2:$M$224,MATCH(J167,'Tasks'!$A$2:$A$224,0)),"BAD ID"))</x:f>
        <x:v>0</x:v>
      </x:c>
      <x:c r="S167" s="14" t="n">
        <x:f>IF(K167="",0,IF(COUNTIFS('Tasks'!$A$2:$A$224,K167)=1,INDEX('Tasks'!$M$2:$M$224,MATCH(K167,'Tasks'!$A$2:$A$224,0)),"BAD ID"))</x:f>
        <x:v>0</x:v>
      </x:c>
      <x:c r="T167" s="14" t="n">
        <x:f>IF(L167="",0,IF(COUNTIFS('Tasks'!$A$2:$A$224,L167)=1,INDEX('Tasks'!$M$2:$M$224,MATCH(L167,'Tasks'!$A$2:$A$224,0)),"BAD ID"))</x:f>
        <x:v>0</x:v>
      </x:c>
      <x:c r="U167" s="14" t="n">
        <x:f>IF(M167="",0,IF(COUNTIFS('Tasks'!$A$2:$A$224,M167)=1,INDEX('Tasks'!$M$2:$M$224,MATCH(M167,'Tasks'!$A$2:$A$224,0)),"BAD ID"))</x:f>
        <x:v>0</x:v>
      </x:c>
      <x:c r="V167" s="14" t="n">
        <x:f>IF(N167="",0,IF(COUNTIFS('Tasks'!$A$2:$A$224,N167)=1,INDEX('Tasks'!$M$2:$M$224,MATCH(N167,'Tasks'!$A$2:$A$224,0)),"BAD ID"))</x:f>
        <x:v>0</x:v>
      </x:c>
      <x:c r="W167" s="14" t="n">
        <x:f>IF(O167="",0,IF(COUNTIFS('Tasks'!$A$2:$A$224,O167)=1,INDEX('Tasks'!$M$2:$M$224,MATCH(O167,'Tasks'!$A$2:$A$224,0)),"BAD ID"))</x:f>
        <x:v>0</x:v>
      </x:c>
    </x:row>
    <x:row r="168" ht="28" customHeight="1">
      <x:c r="A168" s="2" t="str">
        <x:v>IND-RIC-AI1</x:v>
      </x:c>
      <x:c r="B168" s="2" t="str">
        <x:f>IF(VLOOKUP(A168,'Tasks'!$A$2:$X$224,15,FALSE)="","",VLOOKUP(A168,'Tasks'!$A$2:$X$224,15,FALSE))</x:f>
      </x:c>
      <x:c r="C168" s="13" t="n">
        <x:f>VLOOKUP(A168,'Tasks'!$A$2:$X$224,12,FALSE)</x:f>
        <x:v>46313</x:v>
      </x:c>
      <x:c r="D168" s="2" t="n">
        <x:f>IF(B168="",0,LEN(B168)-LEN(SUBSTITUTE(B168,",",""))+1)</x:f>
        <x:v>0</x:v>
      </x:c>
      <x:c r="E168" s="14" t="n">
        <x:f>MAX(P168:W168)</x:f>
        <x:v>0</x:v>
      </x:c>
      <x:c r="F168" s="2" t="n">
        <x:f>COUNTIFS(P168:W168,"BAD ID")</x:f>
        <x:v>0</x:v>
      </x:c>
      <x:c r="G168" s="2" t="str">
        <x:f>IF(D168&gt;8,"TOO MANY",IF(F168&gt;0,"BAD ID",IF(C168&gt;=E168,"OK","LATE")))</x:f>
        <x:v>OK</x:v>
      </x:c>
      <x:c r="H168" s="2" t="str">
        <x:f>TRIM(MID(SUBSTITUTE($B168,",",REPT(" ",100)),1,100))</x:f>
      </x:c>
      <x:c r="I168" s="2" t="str">
        <x:f>TRIM(MID(SUBSTITUTE($B168,",",REPT(" ",100)),101,100))</x:f>
      </x:c>
      <x:c r="J168" s="2" t="str">
        <x:f>TRIM(MID(SUBSTITUTE($B168,",",REPT(" ",100)),201,100))</x:f>
      </x:c>
      <x:c r="K168" s="2" t="str">
        <x:f>TRIM(MID(SUBSTITUTE($B168,",",REPT(" ",100)),301,100))</x:f>
      </x:c>
      <x:c r="L168" s="2" t="str">
        <x:f>TRIM(MID(SUBSTITUTE($B168,",",REPT(" ",100)),401,100))</x:f>
      </x:c>
      <x:c r="M168" s="2" t="str">
        <x:f>TRIM(MID(SUBSTITUTE($B168,",",REPT(" ",100)),501,100))</x:f>
      </x:c>
      <x:c r="N168" s="2" t="str">
        <x:f>TRIM(MID(SUBSTITUTE($B168,",",REPT(" ",100)),601,100))</x:f>
      </x:c>
      <x:c r="O168" s="2" t="str">
        <x:f>TRIM(MID(SUBSTITUTE($B168,",",REPT(" ",100)),701,100))</x:f>
      </x:c>
      <x:c r="P168" s="14" t="n">
        <x:f>IF(H168="",0,IF(COUNTIFS('Tasks'!$A$2:$A$224,H168)=1,INDEX('Tasks'!$M$2:$M$224,MATCH(H168,'Tasks'!$A$2:$A$224,0)),"BAD ID"))</x:f>
        <x:v>0</x:v>
      </x:c>
      <x:c r="Q168" s="14" t="n">
        <x:f>IF(I168="",0,IF(COUNTIFS('Tasks'!$A$2:$A$224,I168)=1,INDEX('Tasks'!$M$2:$M$224,MATCH(I168,'Tasks'!$A$2:$A$224,0)),"BAD ID"))</x:f>
        <x:v>0</x:v>
      </x:c>
      <x:c r="R168" s="14" t="n">
        <x:f>IF(J168="",0,IF(COUNTIFS('Tasks'!$A$2:$A$224,J168)=1,INDEX('Tasks'!$M$2:$M$224,MATCH(J168,'Tasks'!$A$2:$A$224,0)),"BAD ID"))</x:f>
        <x:v>0</x:v>
      </x:c>
      <x:c r="S168" s="14" t="n">
        <x:f>IF(K168="",0,IF(COUNTIFS('Tasks'!$A$2:$A$224,K168)=1,INDEX('Tasks'!$M$2:$M$224,MATCH(K168,'Tasks'!$A$2:$A$224,0)),"BAD ID"))</x:f>
        <x:v>0</x:v>
      </x:c>
      <x:c r="T168" s="14" t="n">
        <x:f>IF(L168="",0,IF(COUNTIFS('Tasks'!$A$2:$A$224,L168)=1,INDEX('Tasks'!$M$2:$M$224,MATCH(L168,'Tasks'!$A$2:$A$224,0)),"BAD ID"))</x:f>
        <x:v>0</x:v>
      </x:c>
      <x:c r="U168" s="14" t="n">
        <x:f>IF(M168="",0,IF(COUNTIFS('Tasks'!$A$2:$A$224,M168)=1,INDEX('Tasks'!$M$2:$M$224,MATCH(M168,'Tasks'!$A$2:$A$224,0)),"BAD ID"))</x:f>
        <x:v>0</x:v>
      </x:c>
      <x:c r="V168" s="14" t="n">
        <x:f>IF(N168="",0,IF(COUNTIFS('Tasks'!$A$2:$A$224,N168)=1,INDEX('Tasks'!$M$2:$M$224,MATCH(N168,'Tasks'!$A$2:$A$224,0)),"BAD ID"))</x:f>
        <x:v>0</x:v>
      </x:c>
      <x:c r="W168" s="14" t="n">
        <x:f>IF(O168="",0,IF(COUNTIFS('Tasks'!$A$2:$A$224,O168)=1,INDEX('Tasks'!$M$2:$M$224,MATCH(O168,'Tasks'!$A$2:$A$224,0)),"BAD ID"))</x:f>
        <x:v>0</x:v>
      </x:c>
    </x:row>
    <x:row r="169" ht="28" customHeight="1">
      <x:c r="A169" s="2" t="str">
        <x:v>REV-RIC-2</x:v>
      </x:c>
      <x:c r="B169" s="2" t="str">
        <x:f>IF(VLOOKUP(A169,'Tasks'!$A$2:$X$224,15,FALSE)="","",VLOOKUP(A169,'Tasks'!$A$2:$X$224,15,FALSE))</x:f>
        <x:v>PROC-01</x:v>
      </x:c>
      <x:c r="C169" s="13" t="n">
        <x:f>VLOOKUP(A169,'Tasks'!$A$2:$X$224,12,FALSE)</x:f>
        <x:v>46314</x:v>
      </x:c>
      <x:c r="D169" s="2" t="n">
        <x:f>IF(B169="",0,LEN(B169)-LEN(SUBSTITUTE(B169,",",""))+1)</x:f>
        <x:v>1</x:v>
      </x:c>
      <x:c r="E169" s="14" t="n">
        <x:f>MAX(P169:W169)</x:f>
        <x:v>46307</x:v>
      </x:c>
      <x:c r="F169" s="2" t="n">
        <x:f>COUNTIFS(P169:W169,"BAD ID")</x:f>
        <x:v>0</x:v>
      </x:c>
      <x:c r="G169" s="2" t="str">
        <x:f>IF(D169&gt;8,"TOO MANY",IF(F169&gt;0,"BAD ID",IF(C169&gt;=E169,"OK","LATE")))</x:f>
        <x:v>OK</x:v>
      </x:c>
      <x:c r="H169" s="2" t="str">
        <x:f>TRIM(MID(SUBSTITUTE($B169,",",REPT(" ",100)),1,100))</x:f>
        <x:v>PROC-01</x:v>
      </x:c>
      <x:c r="I169" s="2" t="str">
        <x:f>TRIM(MID(SUBSTITUTE($B169,",",REPT(" ",100)),101,100))</x:f>
      </x:c>
      <x:c r="J169" s="2" t="str">
        <x:f>TRIM(MID(SUBSTITUTE($B169,",",REPT(" ",100)),201,100))</x:f>
      </x:c>
      <x:c r="K169" s="2" t="str">
        <x:f>TRIM(MID(SUBSTITUTE($B169,",",REPT(" ",100)),301,100))</x:f>
      </x:c>
      <x:c r="L169" s="2" t="str">
        <x:f>TRIM(MID(SUBSTITUTE($B169,",",REPT(" ",100)),401,100))</x:f>
      </x:c>
      <x:c r="M169" s="2" t="str">
        <x:f>TRIM(MID(SUBSTITUTE($B169,",",REPT(" ",100)),501,100))</x:f>
      </x:c>
      <x:c r="N169" s="2" t="str">
        <x:f>TRIM(MID(SUBSTITUTE($B169,",",REPT(" ",100)),601,100))</x:f>
      </x:c>
      <x:c r="O169" s="2" t="str">
        <x:f>TRIM(MID(SUBSTITUTE($B169,",",REPT(" ",100)),701,100))</x:f>
      </x:c>
      <x:c r="P169" s="14" t="n">
        <x:f>IF(H169="",0,IF(COUNTIFS('Tasks'!$A$2:$A$224,H169)=1,INDEX('Tasks'!$M$2:$M$224,MATCH(H169,'Tasks'!$A$2:$A$224,0)),"BAD ID"))</x:f>
        <x:v>46307</x:v>
      </x:c>
      <x:c r="Q169" s="14" t="n">
        <x:f>IF(I169="",0,IF(COUNTIFS('Tasks'!$A$2:$A$224,I169)=1,INDEX('Tasks'!$M$2:$M$224,MATCH(I169,'Tasks'!$A$2:$A$224,0)),"BAD ID"))</x:f>
        <x:v>0</x:v>
      </x:c>
      <x:c r="R169" s="14" t="n">
        <x:f>IF(J169="",0,IF(COUNTIFS('Tasks'!$A$2:$A$224,J169)=1,INDEX('Tasks'!$M$2:$M$224,MATCH(J169,'Tasks'!$A$2:$A$224,0)),"BAD ID"))</x:f>
        <x:v>0</x:v>
      </x:c>
      <x:c r="S169" s="14" t="n">
        <x:f>IF(K169="",0,IF(COUNTIFS('Tasks'!$A$2:$A$224,K169)=1,INDEX('Tasks'!$M$2:$M$224,MATCH(K169,'Tasks'!$A$2:$A$224,0)),"BAD ID"))</x:f>
        <x:v>0</x:v>
      </x:c>
      <x:c r="T169" s="14" t="n">
        <x:f>IF(L169="",0,IF(COUNTIFS('Tasks'!$A$2:$A$224,L169)=1,INDEX('Tasks'!$M$2:$M$224,MATCH(L169,'Tasks'!$A$2:$A$224,0)),"BAD ID"))</x:f>
        <x:v>0</x:v>
      </x:c>
      <x:c r="U169" s="14" t="n">
        <x:f>IF(M169="",0,IF(COUNTIFS('Tasks'!$A$2:$A$224,M169)=1,INDEX('Tasks'!$M$2:$M$224,MATCH(M169,'Tasks'!$A$2:$A$224,0)),"BAD ID"))</x:f>
        <x:v>0</x:v>
      </x:c>
      <x:c r="V169" s="14" t="n">
        <x:f>IF(N169="",0,IF(COUNTIFS('Tasks'!$A$2:$A$224,N169)=1,INDEX('Tasks'!$M$2:$M$224,MATCH(N169,'Tasks'!$A$2:$A$224,0)),"BAD ID"))</x:f>
        <x:v>0</x:v>
      </x:c>
      <x:c r="W169" s="14" t="n">
        <x:f>IF(O169="",0,IF(COUNTIFS('Tasks'!$A$2:$A$224,O169)=1,INDEX('Tasks'!$M$2:$M$224,MATCH(O169,'Tasks'!$A$2:$A$224,0)),"BAD ID"))</x:f>
        <x:v>0</x:v>
      </x:c>
    </x:row>
    <x:row r="170" ht="28" customHeight="1">
      <x:c r="A170" s="2" t="str">
        <x:v>COM-RIC-2</x:v>
      </x:c>
      <x:c r="B170" s="2" t="str">
        <x:f>IF(VLOOKUP(A170,'Tasks'!$A$2:$X$224,15,FALSE)="","",VLOOKUP(A170,'Tasks'!$A$2:$X$224,15,FALSE))</x:f>
      </x:c>
      <x:c r="C170" s="13" t="n">
        <x:f>VLOOKUP(A170,'Tasks'!$A$2:$X$224,12,FALSE)</x:f>
        <x:v>46314</x:v>
      </x:c>
      <x:c r="D170" s="2" t="n">
        <x:f>IF(B170="",0,LEN(B170)-LEN(SUBSTITUTE(B170,",",""))+1)</x:f>
        <x:v>0</x:v>
      </x:c>
      <x:c r="E170" s="14" t="n">
        <x:f>MAX(P170:W170)</x:f>
        <x:v>0</x:v>
      </x:c>
      <x:c r="F170" s="2" t="n">
        <x:f>COUNTIFS(P170:W170,"BAD ID")</x:f>
        <x:v>0</x:v>
      </x:c>
      <x:c r="G170" s="2" t="str">
        <x:f>IF(D170&gt;8,"TOO MANY",IF(F170&gt;0,"BAD ID",IF(C170&gt;=E170,"OK","LATE")))</x:f>
        <x:v>OK</x:v>
      </x:c>
      <x:c r="H170" s="2" t="str">
        <x:f>TRIM(MID(SUBSTITUTE($B170,",",REPT(" ",100)),1,100))</x:f>
      </x:c>
      <x:c r="I170" s="2" t="str">
        <x:f>TRIM(MID(SUBSTITUTE($B170,",",REPT(" ",100)),101,100))</x:f>
      </x:c>
      <x:c r="J170" s="2" t="str">
        <x:f>TRIM(MID(SUBSTITUTE($B170,",",REPT(" ",100)),201,100))</x:f>
      </x:c>
      <x:c r="K170" s="2" t="str">
        <x:f>TRIM(MID(SUBSTITUTE($B170,",",REPT(" ",100)),301,100))</x:f>
      </x:c>
      <x:c r="L170" s="2" t="str">
        <x:f>TRIM(MID(SUBSTITUTE($B170,",",REPT(" ",100)),401,100))</x:f>
      </x:c>
      <x:c r="M170" s="2" t="str">
        <x:f>TRIM(MID(SUBSTITUTE($B170,",",REPT(" ",100)),501,100))</x:f>
      </x:c>
      <x:c r="N170" s="2" t="str">
        <x:f>TRIM(MID(SUBSTITUTE($B170,",",REPT(" ",100)),601,100))</x:f>
      </x:c>
      <x:c r="O170" s="2" t="str">
        <x:f>TRIM(MID(SUBSTITUTE($B170,",",REPT(" ",100)),701,100))</x:f>
      </x:c>
      <x:c r="P170" s="14" t="n">
        <x:f>IF(H170="",0,IF(COUNTIFS('Tasks'!$A$2:$A$224,H170)=1,INDEX('Tasks'!$M$2:$M$224,MATCH(H170,'Tasks'!$A$2:$A$224,0)),"BAD ID"))</x:f>
        <x:v>0</x:v>
      </x:c>
      <x:c r="Q170" s="14" t="n">
        <x:f>IF(I170="",0,IF(COUNTIFS('Tasks'!$A$2:$A$224,I170)=1,INDEX('Tasks'!$M$2:$M$224,MATCH(I170,'Tasks'!$A$2:$A$224,0)),"BAD ID"))</x:f>
        <x:v>0</x:v>
      </x:c>
      <x:c r="R170" s="14" t="n">
        <x:f>IF(J170="",0,IF(COUNTIFS('Tasks'!$A$2:$A$224,J170)=1,INDEX('Tasks'!$M$2:$M$224,MATCH(J170,'Tasks'!$A$2:$A$224,0)),"BAD ID"))</x:f>
        <x:v>0</x:v>
      </x:c>
      <x:c r="S170" s="14" t="n">
        <x:f>IF(K170="",0,IF(COUNTIFS('Tasks'!$A$2:$A$224,K170)=1,INDEX('Tasks'!$M$2:$M$224,MATCH(K170,'Tasks'!$A$2:$A$224,0)),"BAD ID"))</x:f>
        <x:v>0</x:v>
      </x:c>
      <x:c r="T170" s="14" t="n">
        <x:f>IF(L170="",0,IF(COUNTIFS('Tasks'!$A$2:$A$224,L170)=1,INDEX('Tasks'!$M$2:$M$224,MATCH(L170,'Tasks'!$A$2:$A$224,0)),"BAD ID"))</x:f>
        <x:v>0</x:v>
      </x:c>
      <x:c r="U170" s="14" t="n">
        <x:f>IF(M170="",0,IF(COUNTIFS('Tasks'!$A$2:$A$224,M170)=1,INDEX('Tasks'!$M$2:$M$224,MATCH(M170,'Tasks'!$A$2:$A$224,0)),"BAD ID"))</x:f>
        <x:v>0</x:v>
      </x:c>
      <x:c r="V170" s="14" t="n">
        <x:f>IF(N170="",0,IF(COUNTIFS('Tasks'!$A$2:$A$224,N170)=1,INDEX('Tasks'!$M$2:$M$224,MATCH(N170,'Tasks'!$A$2:$A$224,0)),"BAD ID"))</x:f>
        <x:v>0</x:v>
      </x:c>
      <x:c r="W170" s="14" t="n">
        <x:f>IF(O170="",0,IF(COUNTIFS('Tasks'!$A$2:$A$224,O170)=1,INDEX('Tasks'!$M$2:$M$224,MATCH(O170,'Tasks'!$A$2:$A$224,0)),"BAD ID"))</x:f>
        <x:v>0</x:v>
      </x:c>
    </x:row>
    <x:row r="171" ht="28" customHeight="1">
      <x:c r="A171" s="2" t="str">
        <x:v>IND-RIC-AI2</x:v>
      </x:c>
      <x:c r="B171" s="2" t="str">
        <x:f>IF(VLOOKUP(A171,'Tasks'!$A$2:$X$224,15,FALSE)="","",VLOOKUP(A171,'Tasks'!$A$2:$X$224,15,FALSE))</x:f>
      </x:c>
      <x:c r="C171" s="13" t="n">
        <x:f>VLOOKUP(A171,'Tasks'!$A$2:$X$224,12,FALSE)</x:f>
        <x:v>46320</x:v>
      </x:c>
      <x:c r="D171" s="2" t="n">
        <x:f>IF(B171="",0,LEN(B171)-LEN(SUBSTITUTE(B171,",",""))+1)</x:f>
        <x:v>0</x:v>
      </x:c>
      <x:c r="E171" s="14" t="n">
        <x:f>MAX(P171:W171)</x:f>
        <x:v>0</x:v>
      </x:c>
      <x:c r="F171" s="2" t="n">
        <x:f>COUNTIFS(P171:W171,"BAD ID")</x:f>
        <x:v>0</x:v>
      </x:c>
      <x:c r="G171" s="2" t="str">
        <x:f>IF(D171&gt;8,"TOO MANY",IF(F171&gt;0,"BAD ID",IF(C171&gt;=E171,"OK","LATE")))</x:f>
        <x:v>OK</x:v>
      </x:c>
      <x:c r="H171" s="2" t="str">
        <x:f>TRIM(MID(SUBSTITUTE($B171,",",REPT(" ",100)),1,100))</x:f>
      </x:c>
      <x:c r="I171" s="2" t="str">
        <x:f>TRIM(MID(SUBSTITUTE($B171,",",REPT(" ",100)),101,100))</x:f>
      </x:c>
      <x:c r="J171" s="2" t="str">
        <x:f>TRIM(MID(SUBSTITUTE($B171,",",REPT(" ",100)),201,100))</x:f>
      </x:c>
      <x:c r="K171" s="2" t="str">
        <x:f>TRIM(MID(SUBSTITUTE($B171,",",REPT(" ",100)),301,100))</x:f>
      </x:c>
      <x:c r="L171" s="2" t="str">
        <x:f>TRIM(MID(SUBSTITUTE($B171,",",REPT(" ",100)),401,100))</x:f>
      </x:c>
      <x:c r="M171" s="2" t="str">
        <x:f>TRIM(MID(SUBSTITUTE($B171,",",REPT(" ",100)),501,100))</x:f>
      </x:c>
      <x:c r="N171" s="2" t="str">
        <x:f>TRIM(MID(SUBSTITUTE($B171,",",REPT(" ",100)),601,100))</x:f>
      </x:c>
      <x:c r="O171" s="2" t="str">
        <x:f>TRIM(MID(SUBSTITUTE($B171,",",REPT(" ",100)),701,100))</x:f>
      </x:c>
      <x:c r="P171" s="14" t="n">
        <x:f>IF(H171="",0,IF(COUNTIFS('Tasks'!$A$2:$A$224,H171)=1,INDEX('Tasks'!$M$2:$M$224,MATCH(H171,'Tasks'!$A$2:$A$224,0)),"BAD ID"))</x:f>
        <x:v>0</x:v>
      </x:c>
      <x:c r="Q171" s="14" t="n">
        <x:f>IF(I171="",0,IF(COUNTIFS('Tasks'!$A$2:$A$224,I171)=1,INDEX('Tasks'!$M$2:$M$224,MATCH(I171,'Tasks'!$A$2:$A$224,0)),"BAD ID"))</x:f>
        <x:v>0</x:v>
      </x:c>
      <x:c r="R171" s="14" t="n">
        <x:f>IF(J171="",0,IF(COUNTIFS('Tasks'!$A$2:$A$224,J171)=1,INDEX('Tasks'!$M$2:$M$224,MATCH(J171,'Tasks'!$A$2:$A$224,0)),"BAD ID"))</x:f>
        <x:v>0</x:v>
      </x:c>
      <x:c r="S171" s="14" t="n">
        <x:f>IF(K171="",0,IF(COUNTIFS('Tasks'!$A$2:$A$224,K171)=1,INDEX('Tasks'!$M$2:$M$224,MATCH(K171,'Tasks'!$A$2:$A$224,0)),"BAD ID"))</x:f>
        <x:v>0</x:v>
      </x:c>
      <x:c r="T171" s="14" t="n">
        <x:f>IF(L171="",0,IF(COUNTIFS('Tasks'!$A$2:$A$224,L171)=1,INDEX('Tasks'!$M$2:$M$224,MATCH(L171,'Tasks'!$A$2:$A$224,0)),"BAD ID"))</x:f>
        <x:v>0</x:v>
      </x:c>
      <x:c r="U171" s="14" t="n">
        <x:f>IF(M171="",0,IF(COUNTIFS('Tasks'!$A$2:$A$224,M171)=1,INDEX('Tasks'!$M$2:$M$224,MATCH(M171,'Tasks'!$A$2:$A$224,0)),"BAD ID"))</x:f>
        <x:v>0</x:v>
      </x:c>
      <x:c r="V171" s="14" t="n">
        <x:f>IF(N171="",0,IF(COUNTIFS('Tasks'!$A$2:$A$224,N171)=1,INDEX('Tasks'!$M$2:$M$224,MATCH(N171,'Tasks'!$A$2:$A$224,0)),"BAD ID"))</x:f>
        <x:v>0</x:v>
      </x:c>
      <x:c r="W171" s="14" t="n">
        <x:f>IF(O171="",0,IF(COUNTIFS('Tasks'!$A$2:$A$224,O171)=1,INDEX('Tasks'!$M$2:$M$224,MATCH(O171,'Tasks'!$A$2:$A$224,0)),"BAD ID"))</x:f>
        <x:v>0</x:v>
      </x:c>
    </x:row>
    <x:row r="172" ht="28" customHeight="1">
      <x:c r="A172" s="2" t="str">
        <x:v>REV-RIC-3</x:v>
      </x:c>
      <x:c r="B172" s="2" t="str">
        <x:f>IF(VLOOKUP(A172,'Tasks'!$A$2:$X$224,15,FALSE)="","",VLOOKUP(A172,'Tasks'!$A$2:$X$224,15,FALSE))</x:f>
        <x:v>PROC-01</x:v>
      </x:c>
      <x:c r="C172" s="13" t="n">
        <x:f>VLOOKUP(A172,'Tasks'!$A$2:$X$224,12,FALSE)</x:f>
        <x:v>46321</x:v>
      </x:c>
      <x:c r="D172" s="2" t="n">
        <x:f>IF(B172="",0,LEN(B172)-LEN(SUBSTITUTE(B172,",",""))+1)</x:f>
        <x:v>1</x:v>
      </x:c>
      <x:c r="E172" s="14" t="n">
        <x:f>MAX(P172:W172)</x:f>
        <x:v>46307</x:v>
      </x:c>
      <x:c r="F172" s="2" t="n">
        <x:f>COUNTIFS(P172:W172,"BAD ID")</x:f>
        <x:v>0</x:v>
      </x:c>
      <x:c r="G172" s="2" t="str">
        <x:f>IF(D172&gt;8,"TOO MANY",IF(F172&gt;0,"BAD ID",IF(C172&gt;=E172,"OK","LATE")))</x:f>
        <x:v>OK</x:v>
      </x:c>
      <x:c r="H172" s="2" t="str">
        <x:f>TRIM(MID(SUBSTITUTE($B172,",",REPT(" ",100)),1,100))</x:f>
        <x:v>PROC-01</x:v>
      </x:c>
      <x:c r="I172" s="2" t="str">
        <x:f>TRIM(MID(SUBSTITUTE($B172,",",REPT(" ",100)),101,100))</x:f>
      </x:c>
      <x:c r="J172" s="2" t="str">
        <x:f>TRIM(MID(SUBSTITUTE($B172,",",REPT(" ",100)),201,100))</x:f>
      </x:c>
      <x:c r="K172" s="2" t="str">
        <x:f>TRIM(MID(SUBSTITUTE($B172,",",REPT(" ",100)),301,100))</x:f>
      </x:c>
      <x:c r="L172" s="2" t="str">
        <x:f>TRIM(MID(SUBSTITUTE($B172,",",REPT(" ",100)),401,100))</x:f>
      </x:c>
      <x:c r="M172" s="2" t="str">
        <x:f>TRIM(MID(SUBSTITUTE($B172,",",REPT(" ",100)),501,100))</x:f>
      </x:c>
      <x:c r="N172" s="2" t="str">
        <x:f>TRIM(MID(SUBSTITUTE($B172,",",REPT(" ",100)),601,100))</x:f>
      </x:c>
      <x:c r="O172" s="2" t="str">
        <x:f>TRIM(MID(SUBSTITUTE($B172,",",REPT(" ",100)),701,100))</x:f>
      </x:c>
      <x:c r="P172" s="14" t="n">
        <x:f>IF(H172="",0,IF(COUNTIFS('Tasks'!$A$2:$A$224,H172)=1,INDEX('Tasks'!$M$2:$M$224,MATCH(H172,'Tasks'!$A$2:$A$224,0)),"BAD ID"))</x:f>
        <x:v>46307</x:v>
      </x:c>
      <x:c r="Q172" s="14" t="n">
        <x:f>IF(I172="",0,IF(COUNTIFS('Tasks'!$A$2:$A$224,I172)=1,INDEX('Tasks'!$M$2:$M$224,MATCH(I172,'Tasks'!$A$2:$A$224,0)),"BAD ID"))</x:f>
        <x:v>0</x:v>
      </x:c>
      <x:c r="R172" s="14" t="n">
        <x:f>IF(J172="",0,IF(COUNTIFS('Tasks'!$A$2:$A$224,J172)=1,INDEX('Tasks'!$M$2:$M$224,MATCH(J172,'Tasks'!$A$2:$A$224,0)),"BAD ID"))</x:f>
        <x:v>0</x:v>
      </x:c>
      <x:c r="S172" s="14" t="n">
        <x:f>IF(K172="",0,IF(COUNTIFS('Tasks'!$A$2:$A$224,K172)=1,INDEX('Tasks'!$M$2:$M$224,MATCH(K172,'Tasks'!$A$2:$A$224,0)),"BAD ID"))</x:f>
        <x:v>0</x:v>
      </x:c>
      <x:c r="T172" s="14" t="n">
        <x:f>IF(L172="",0,IF(COUNTIFS('Tasks'!$A$2:$A$224,L172)=1,INDEX('Tasks'!$M$2:$M$224,MATCH(L172,'Tasks'!$A$2:$A$224,0)),"BAD ID"))</x:f>
        <x:v>0</x:v>
      </x:c>
      <x:c r="U172" s="14" t="n">
        <x:f>IF(M172="",0,IF(COUNTIFS('Tasks'!$A$2:$A$224,M172)=1,INDEX('Tasks'!$M$2:$M$224,MATCH(M172,'Tasks'!$A$2:$A$224,0)),"BAD ID"))</x:f>
        <x:v>0</x:v>
      </x:c>
      <x:c r="V172" s="14" t="n">
        <x:f>IF(N172="",0,IF(COUNTIFS('Tasks'!$A$2:$A$224,N172)=1,INDEX('Tasks'!$M$2:$M$224,MATCH(N172,'Tasks'!$A$2:$A$224,0)),"BAD ID"))</x:f>
        <x:v>0</x:v>
      </x:c>
      <x:c r="W172" s="14" t="n">
        <x:f>IF(O172="",0,IF(COUNTIFS('Tasks'!$A$2:$A$224,O172)=1,INDEX('Tasks'!$M$2:$M$224,MATCH(O172,'Tasks'!$A$2:$A$224,0)),"BAD ID"))</x:f>
        <x:v>0</x:v>
      </x:c>
    </x:row>
    <x:row r="173" ht="28" customHeight="1">
      <x:c r="A173" s="2" t="str">
        <x:v>COM-RIC-3</x:v>
      </x:c>
      <x:c r="B173" s="2" t="str">
        <x:f>IF(VLOOKUP(A173,'Tasks'!$A$2:$X$224,15,FALSE)="","",VLOOKUP(A173,'Tasks'!$A$2:$X$224,15,FALSE))</x:f>
      </x:c>
      <x:c r="C173" s="13" t="n">
        <x:f>VLOOKUP(A173,'Tasks'!$A$2:$X$224,12,FALSE)</x:f>
        <x:v>46321</x:v>
      </x:c>
      <x:c r="D173" s="2" t="n">
        <x:f>IF(B173="",0,LEN(B173)-LEN(SUBSTITUTE(B173,",",""))+1)</x:f>
        <x:v>0</x:v>
      </x:c>
      <x:c r="E173" s="14" t="n">
        <x:f>MAX(P173:W173)</x:f>
        <x:v>0</x:v>
      </x:c>
      <x:c r="F173" s="2" t="n">
        <x:f>COUNTIFS(P173:W173,"BAD ID")</x:f>
        <x:v>0</x:v>
      </x:c>
      <x:c r="G173" s="2" t="str">
        <x:f>IF(D173&gt;8,"TOO MANY",IF(F173&gt;0,"BAD ID",IF(C173&gt;=E173,"OK","LATE")))</x:f>
        <x:v>OK</x:v>
      </x:c>
      <x:c r="H173" s="2" t="str">
        <x:f>TRIM(MID(SUBSTITUTE($B173,",",REPT(" ",100)),1,100))</x:f>
      </x:c>
      <x:c r="I173" s="2" t="str">
        <x:f>TRIM(MID(SUBSTITUTE($B173,",",REPT(" ",100)),101,100))</x:f>
      </x:c>
      <x:c r="J173" s="2" t="str">
        <x:f>TRIM(MID(SUBSTITUTE($B173,",",REPT(" ",100)),201,100))</x:f>
      </x:c>
      <x:c r="K173" s="2" t="str">
        <x:f>TRIM(MID(SUBSTITUTE($B173,",",REPT(" ",100)),301,100))</x:f>
      </x:c>
      <x:c r="L173" s="2" t="str">
        <x:f>TRIM(MID(SUBSTITUTE($B173,",",REPT(" ",100)),401,100))</x:f>
      </x:c>
      <x:c r="M173" s="2" t="str">
        <x:f>TRIM(MID(SUBSTITUTE($B173,",",REPT(" ",100)),501,100))</x:f>
      </x:c>
      <x:c r="N173" s="2" t="str">
        <x:f>TRIM(MID(SUBSTITUTE($B173,",",REPT(" ",100)),601,100))</x:f>
      </x:c>
      <x:c r="O173" s="2" t="str">
        <x:f>TRIM(MID(SUBSTITUTE($B173,",",REPT(" ",100)),701,100))</x:f>
      </x:c>
      <x:c r="P173" s="14" t="n">
        <x:f>IF(H173="",0,IF(COUNTIFS('Tasks'!$A$2:$A$224,H173)=1,INDEX('Tasks'!$M$2:$M$224,MATCH(H173,'Tasks'!$A$2:$A$224,0)),"BAD ID"))</x:f>
        <x:v>0</x:v>
      </x:c>
      <x:c r="Q173" s="14" t="n">
        <x:f>IF(I173="",0,IF(COUNTIFS('Tasks'!$A$2:$A$224,I173)=1,INDEX('Tasks'!$M$2:$M$224,MATCH(I173,'Tasks'!$A$2:$A$224,0)),"BAD ID"))</x:f>
        <x:v>0</x:v>
      </x:c>
      <x:c r="R173" s="14" t="n">
        <x:f>IF(J173="",0,IF(COUNTIFS('Tasks'!$A$2:$A$224,J173)=1,INDEX('Tasks'!$M$2:$M$224,MATCH(J173,'Tasks'!$A$2:$A$224,0)),"BAD ID"))</x:f>
        <x:v>0</x:v>
      </x:c>
      <x:c r="S173" s="14" t="n">
        <x:f>IF(K173="",0,IF(COUNTIFS('Tasks'!$A$2:$A$224,K173)=1,INDEX('Tasks'!$M$2:$M$224,MATCH(K173,'Tasks'!$A$2:$A$224,0)),"BAD ID"))</x:f>
        <x:v>0</x:v>
      </x:c>
      <x:c r="T173" s="14" t="n">
        <x:f>IF(L173="",0,IF(COUNTIFS('Tasks'!$A$2:$A$224,L173)=1,INDEX('Tasks'!$M$2:$M$224,MATCH(L173,'Tasks'!$A$2:$A$224,0)),"BAD ID"))</x:f>
        <x:v>0</x:v>
      </x:c>
      <x:c r="U173" s="14" t="n">
        <x:f>IF(M173="",0,IF(COUNTIFS('Tasks'!$A$2:$A$224,M173)=1,INDEX('Tasks'!$M$2:$M$224,MATCH(M173,'Tasks'!$A$2:$A$224,0)),"BAD ID"))</x:f>
        <x:v>0</x:v>
      </x:c>
      <x:c r="V173" s="14" t="n">
        <x:f>IF(N173="",0,IF(COUNTIFS('Tasks'!$A$2:$A$224,N173)=1,INDEX('Tasks'!$M$2:$M$224,MATCH(N173,'Tasks'!$A$2:$A$224,0)),"BAD ID"))</x:f>
        <x:v>0</x:v>
      </x:c>
      <x:c r="W173" s="14" t="n">
        <x:f>IF(O173="",0,IF(COUNTIFS('Tasks'!$A$2:$A$224,O173)=1,INDEX('Tasks'!$M$2:$M$224,MATCH(O173,'Tasks'!$A$2:$A$224,0)),"BAD ID"))</x:f>
        <x:v>0</x:v>
      </x:c>
    </x:row>
    <x:row r="174" ht="28" customHeight="1">
      <x:c r="A174" s="2" t="str">
        <x:v>IND-RIC-AI3</x:v>
      </x:c>
      <x:c r="B174" s="2" t="str">
        <x:f>IF(VLOOKUP(A174,'Tasks'!$A$2:$X$224,15,FALSE)="","",VLOOKUP(A174,'Tasks'!$A$2:$X$224,15,FALSE))</x:f>
      </x:c>
      <x:c r="C174" s="13" t="n">
        <x:f>VLOOKUP(A174,'Tasks'!$A$2:$X$224,12,FALSE)</x:f>
        <x:v>46326</x:v>
      </x:c>
      <x:c r="D174" s="2" t="n">
        <x:f>IF(B174="",0,LEN(B174)-LEN(SUBSTITUTE(B174,",",""))+1)</x:f>
        <x:v>0</x:v>
      </x:c>
      <x:c r="E174" s="14" t="n">
        <x:f>MAX(P174:W174)</x:f>
        <x:v>0</x:v>
      </x:c>
      <x:c r="F174" s="2" t="n">
        <x:f>COUNTIFS(P174:W174,"BAD ID")</x:f>
        <x:v>0</x:v>
      </x:c>
      <x:c r="G174" s="2" t="str">
        <x:f>IF(D174&gt;8,"TOO MANY",IF(F174&gt;0,"BAD ID",IF(C174&gt;=E174,"OK","LATE")))</x:f>
        <x:v>OK</x:v>
      </x:c>
      <x:c r="H174" s="2" t="str">
        <x:f>TRIM(MID(SUBSTITUTE($B174,",",REPT(" ",100)),1,100))</x:f>
      </x:c>
      <x:c r="I174" s="2" t="str">
        <x:f>TRIM(MID(SUBSTITUTE($B174,",",REPT(" ",100)),101,100))</x:f>
      </x:c>
      <x:c r="J174" s="2" t="str">
        <x:f>TRIM(MID(SUBSTITUTE($B174,",",REPT(" ",100)),201,100))</x:f>
      </x:c>
      <x:c r="K174" s="2" t="str">
        <x:f>TRIM(MID(SUBSTITUTE($B174,",",REPT(" ",100)),301,100))</x:f>
      </x:c>
      <x:c r="L174" s="2" t="str">
        <x:f>TRIM(MID(SUBSTITUTE($B174,",",REPT(" ",100)),401,100))</x:f>
      </x:c>
      <x:c r="M174" s="2" t="str">
        <x:f>TRIM(MID(SUBSTITUTE($B174,",",REPT(" ",100)),501,100))</x:f>
      </x:c>
      <x:c r="N174" s="2" t="str">
        <x:f>TRIM(MID(SUBSTITUTE($B174,",",REPT(" ",100)),601,100))</x:f>
      </x:c>
      <x:c r="O174" s="2" t="str">
        <x:f>TRIM(MID(SUBSTITUTE($B174,",",REPT(" ",100)),701,100))</x:f>
      </x:c>
      <x:c r="P174" s="14" t="n">
        <x:f>IF(H174="",0,IF(COUNTIFS('Tasks'!$A$2:$A$224,H174)=1,INDEX('Tasks'!$M$2:$M$224,MATCH(H174,'Tasks'!$A$2:$A$224,0)),"BAD ID"))</x:f>
        <x:v>0</x:v>
      </x:c>
      <x:c r="Q174" s="14" t="n">
        <x:f>IF(I174="",0,IF(COUNTIFS('Tasks'!$A$2:$A$224,I174)=1,INDEX('Tasks'!$M$2:$M$224,MATCH(I174,'Tasks'!$A$2:$A$224,0)),"BAD ID"))</x:f>
        <x:v>0</x:v>
      </x:c>
      <x:c r="R174" s="14" t="n">
        <x:f>IF(J174="",0,IF(COUNTIFS('Tasks'!$A$2:$A$224,J174)=1,INDEX('Tasks'!$M$2:$M$224,MATCH(J174,'Tasks'!$A$2:$A$224,0)),"BAD ID"))</x:f>
        <x:v>0</x:v>
      </x:c>
      <x:c r="S174" s="14" t="n">
        <x:f>IF(K174="",0,IF(COUNTIFS('Tasks'!$A$2:$A$224,K174)=1,INDEX('Tasks'!$M$2:$M$224,MATCH(K174,'Tasks'!$A$2:$A$224,0)),"BAD ID"))</x:f>
        <x:v>0</x:v>
      </x:c>
      <x:c r="T174" s="14" t="n">
        <x:f>IF(L174="",0,IF(COUNTIFS('Tasks'!$A$2:$A$224,L174)=1,INDEX('Tasks'!$M$2:$M$224,MATCH(L174,'Tasks'!$A$2:$A$224,0)),"BAD ID"))</x:f>
        <x:v>0</x:v>
      </x:c>
      <x:c r="U174" s="14" t="n">
        <x:f>IF(M174="",0,IF(COUNTIFS('Tasks'!$A$2:$A$224,M174)=1,INDEX('Tasks'!$M$2:$M$224,MATCH(M174,'Tasks'!$A$2:$A$224,0)),"BAD ID"))</x:f>
        <x:v>0</x:v>
      </x:c>
      <x:c r="V174" s="14" t="n">
        <x:f>IF(N174="",0,IF(COUNTIFS('Tasks'!$A$2:$A$224,N174)=1,INDEX('Tasks'!$M$2:$M$224,MATCH(N174,'Tasks'!$A$2:$A$224,0)),"BAD ID"))</x:f>
        <x:v>0</x:v>
      </x:c>
      <x:c r="W174" s="14" t="n">
        <x:f>IF(O174="",0,IF(COUNTIFS('Tasks'!$A$2:$A$224,O174)=1,INDEX('Tasks'!$M$2:$M$224,MATCH(O174,'Tasks'!$A$2:$A$224,0)),"BAD ID"))</x:f>
        <x:v>0</x:v>
      </x:c>
    </x:row>
    <x:row r="175" ht="28" customHeight="1">
      <x:c r="A175" s="2" t="str">
        <x:v>IND-RIC-REF</x:v>
      </x:c>
      <x:c r="B175" s="2" t="str">
        <x:f>IF(VLOOKUP(A175,'Tasks'!$A$2:$X$224,15,FALSE)="","",VLOOKUP(A175,'Tasks'!$A$2:$X$224,15,FALSE))</x:f>
      </x:c>
      <x:c r="C175" s="13" t="n">
        <x:f>VLOOKUP(A175,'Tasks'!$A$2:$X$224,12,FALSE)</x:f>
        <x:v>46325</x:v>
      </x:c>
      <x:c r="D175" s="2" t="n">
        <x:f>IF(B175="",0,LEN(B175)-LEN(SUBSTITUTE(B175,",",""))+1)</x:f>
        <x:v>0</x:v>
      </x:c>
      <x:c r="E175" s="14" t="n">
        <x:f>MAX(P175:W175)</x:f>
        <x:v>0</x:v>
      </x:c>
      <x:c r="F175" s="2" t="n">
        <x:f>COUNTIFS(P175:W175,"BAD ID")</x:f>
        <x:v>0</x:v>
      </x:c>
      <x:c r="G175" s="2" t="str">
        <x:f>IF(D175&gt;8,"TOO MANY",IF(F175&gt;0,"BAD ID",IF(C175&gt;=E175,"OK","LATE")))</x:f>
        <x:v>OK</x:v>
      </x:c>
      <x:c r="H175" s="2" t="str">
        <x:f>TRIM(MID(SUBSTITUTE($B175,",",REPT(" ",100)),1,100))</x:f>
      </x:c>
      <x:c r="I175" s="2" t="str">
        <x:f>TRIM(MID(SUBSTITUTE($B175,",",REPT(" ",100)),101,100))</x:f>
      </x:c>
      <x:c r="J175" s="2" t="str">
        <x:f>TRIM(MID(SUBSTITUTE($B175,",",REPT(" ",100)),201,100))</x:f>
      </x:c>
      <x:c r="K175" s="2" t="str">
        <x:f>TRIM(MID(SUBSTITUTE($B175,",",REPT(" ",100)),301,100))</x:f>
      </x:c>
      <x:c r="L175" s="2" t="str">
        <x:f>TRIM(MID(SUBSTITUTE($B175,",",REPT(" ",100)),401,100))</x:f>
      </x:c>
      <x:c r="M175" s="2" t="str">
        <x:f>TRIM(MID(SUBSTITUTE($B175,",",REPT(" ",100)),501,100))</x:f>
      </x:c>
      <x:c r="N175" s="2" t="str">
        <x:f>TRIM(MID(SUBSTITUTE($B175,",",REPT(" ",100)),601,100))</x:f>
      </x:c>
      <x:c r="O175" s="2" t="str">
        <x:f>TRIM(MID(SUBSTITUTE($B175,",",REPT(" ",100)),701,100))</x:f>
      </x:c>
      <x:c r="P175" s="14" t="n">
        <x:f>IF(H175="",0,IF(COUNTIFS('Tasks'!$A$2:$A$224,H175)=1,INDEX('Tasks'!$M$2:$M$224,MATCH(H175,'Tasks'!$A$2:$A$224,0)),"BAD ID"))</x:f>
        <x:v>0</x:v>
      </x:c>
      <x:c r="Q175" s="14" t="n">
        <x:f>IF(I175="",0,IF(COUNTIFS('Tasks'!$A$2:$A$224,I175)=1,INDEX('Tasks'!$M$2:$M$224,MATCH(I175,'Tasks'!$A$2:$A$224,0)),"BAD ID"))</x:f>
        <x:v>0</x:v>
      </x:c>
      <x:c r="R175" s="14" t="n">
        <x:f>IF(J175="",0,IF(COUNTIFS('Tasks'!$A$2:$A$224,J175)=1,INDEX('Tasks'!$M$2:$M$224,MATCH(J175,'Tasks'!$A$2:$A$224,0)),"BAD ID"))</x:f>
        <x:v>0</x:v>
      </x:c>
      <x:c r="S175" s="14" t="n">
        <x:f>IF(K175="",0,IF(COUNTIFS('Tasks'!$A$2:$A$224,K175)=1,INDEX('Tasks'!$M$2:$M$224,MATCH(K175,'Tasks'!$A$2:$A$224,0)),"BAD ID"))</x:f>
        <x:v>0</x:v>
      </x:c>
      <x:c r="T175" s="14" t="n">
        <x:f>IF(L175="",0,IF(COUNTIFS('Tasks'!$A$2:$A$224,L175)=1,INDEX('Tasks'!$M$2:$M$224,MATCH(L175,'Tasks'!$A$2:$A$224,0)),"BAD ID"))</x:f>
        <x:v>0</x:v>
      </x:c>
      <x:c r="U175" s="14" t="n">
        <x:f>IF(M175="",0,IF(COUNTIFS('Tasks'!$A$2:$A$224,M175)=1,INDEX('Tasks'!$M$2:$M$224,MATCH(M175,'Tasks'!$A$2:$A$224,0)),"BAD ID"))</x:f>
        <x:v>0</x:v>
      </x:c>
      <x:c r="V175" s="14" t="n">
        <x:f>IF(N175="",0,IF(COUNTIFS('Tasks'!$A$2:$A$224,N175)=1,INDEX('Tasks'!$M$2:$M$224,MATCH(N175,'Tasks'!$A$2:$A$224,0)),"BAD ID"))</x:f>
        <x:v>0</x:v>
      </x:c>
      <x:c r="W175" s="14" t="n">
        <x:f>IF(O175="",0,IF(COUNTIFS('Tasks'!$A$2:$A$224,O175)=1,INDEX('Tasks'!$M$2:$M$224,MATCH(O175,'Tasks'!$A$2:$A$224,0)),"BAD ID"))</x:f>
        <x:v>0</x:v>
      </x:c>
    </x:row>
    <x:row r="176" ht="28" customHeight="1">
      <x:c r="A176" s="2" t="str">
        <x:v>IND-RIC-PEER</x:v>
      </x:c>
      <x:c r="B176" s="2" t="str">
        <x:f>IF(VLOOKUP(A176,'Tasks'!$A$2:$X$224,15,FALSE)="","",VLOOKUP(A176,'Tasks'!$A$2:$X$224,15,FALSE))</x:f>
      </x:c>
      <x:c r="C176" s="13" t="n">
        <x:f>VLOOKUP(A176,'Tasks'!$A$2:$X$224,12,FALSE)</x:f>
        <x:v>46326</x:v>
      </x:c>
      <x:c r="D176" s="2" t="n">
        <x:f>IF(B176="",0,LEN(B176)-LEN(SUBSTITUTE(B176,",",""))+1)</x:f>
        <x:v>0</x:v>
      </x:c>
      <x:c r="E176" s="14" t="n">
        <x:f>MAX(P176:W176)</x:f>
        <x:v>0</x:v>
      </x:c>
      <x:c r="F176" s="2" t="n">
        <x:f>COUNTIFS(P176:W176,"BAD ID")</x:f>
        <x:v>0</x:v>
      </x:c>
      <x:c r="G176" s="2" t="str">
        <x:f>IF(D176&gt;8,"TOO MANY",IF(F176&gt;0,"BAD ID",IF(C176&gt;=E176,"OK","LATE")))</x:f>
        <x:v>OK</x:v>
      </x:c>
      <x:c r="H176" s="2" t="str">
        <x:f>TRIM(MID(SUBSTITUTE($B176,",",REPT(" ",100)),1,100))</x:f>
      </x:c>
      <x:c r="I176" s="2" t="str">
        <x:f>TRIM(MID(SUBSTITUTE($B176,",",REPT(" ",100)),101,100))</x:f>
      </x:c>
      <x:c r="J176" s="2" t="str">
        <x:f>TRIM(MID(SUBSTITUTE($B176,",",REPT(" ",100)),201,100))</x:f>
      </x:c>
      <x:c r="K176" s="2" t="str">
        <x:f>TRIM(MID(SUBSTITUTE($B176,",",REPT(" ",100)),301,100))</x:f>
      </x:c>
      <x:c r="L176" s="2" t="str">
        <x:f>TRIM(MID(SUBSTITUTE($B176,",",REPT(" ",100)),401,100))</x:f>
      </x:c>
      <x:c r="M176" s="2" t="str">
        <x:f>TRIM(MID(SUBSTITUTE($B176,",",REPT(" ",100)),501,100))</x:f>
      </x:c>
      <x:c r="N176" s="2" t="str">
        <x:f>TRIM(MID(SUBSTITUTE($B176,",",REPT(" ",100)),601,100))</x:f>
      </x:c>
      <x:c r="O176" s="2" t="str">
        <x:f>TRIM(MID(SUBSTITUTE($B176,",",REPT(" ",100)),701,100))</x:f>
      </x:c>
      <x:c r="P176" s="14" t="n">
        <x:f>IF(H176="",0,IF(COUNTIFS('Tasks'!$A$2:$A$224,H176)=1,INDEX('Tasks'!$M$2:$M$224,MATCH(H176,'Tasks'!$A$2:$A$224,0)),"BAD ID"))</x:f>
        <x:v>0</x:v>
      </x:c>
      <x:c r="Q176" s="14" t="n">
        <x:f>IF(I176="",0,IF(COUNTIFS('Tasks'!$A$2:$A$224,I176)=1,INDEX('Tasks'!$M$2:$M$224,MATCH(I176,'Tasks'!$A$2:$A$224,0)),"BAD ID"))</x:f>
        <x:v>0</x:v>
      </x:c>
      <x:c r="R176" s="14" t="n">
        <x:f>IF(J176="",0,IF(COUNTIFS('Tasks'!$A$2:$A$224,J176)=1,INDEX('Tasks'!$M$2:$M$224,MATCH(J176,'Tasks'!$A$2:$A$224,0)),"BAD ID"))</x:f>
        <x:v>0</x:v>
      </x:c>
      <x:c r="S176" s="14" t="n">
        <x:f>IF(K176="",0,IF(COUNTIFS('Tasks'!$A$2:$A$224,K176)=1,INDEX('Tasks'!$M$2:$M$224,MATCH(K176,'Tasks'!$A$2:$A$224,0)),"BAD ID"))</x:f>
        <x:v>0</x:v>
      </x:c>
      <x:c r="T176" s="14" t="n">
        <x:f>IF(L176="",0,IF(COUNTIFS('Tasks'!$A$2:$A$224,L176)=1,INDEX('Tasks'!$M$2:$M$224,MATCH(L176,'Tasks'!$A$2:$A$224,0)),"BAD ID"))</x:f>
        <x:v>0</x:v>
      </x:c>
      <x:c r="U176" s="14" t="n">
        <x:f>IF(M176="",0,IF(COUNTIFS('Tasks'!$A$2:$A$224,M176)=1,INDEX('Tasks'!$M$2:$M$224,MATCH(M176,'Tasks'!$A$2:$A$224,0)),"BAD ID"))</x:f>
        <x:v>0</x:v>
      </x:c>
      <x:c r="V176" s="14" t="n">
        <x:f>IF(N176="",0,IF(COUNTIFS('Tasks'!$A$2:$A$224,N176)=1,INDEX('Tasks'!$M$2:$M$224,MATCH(N176,'Tasks'!$A$2:$A$224,0)),"BAD ID"))</x:f>
        <x:v>0</x:v>
      </x:c>
      <x:c r="W176" s="14" t="n">
        <x:f>IF(O176="",0,IF(COUNTIFS('Tasks'!$A$2:$A$224,O176)=1,INDEX('Tasks'!$M$2:$M$224,MATCH(O176,'Tasks'!$A$2:$A$224,0)),"BAD ID"))</x:f>
        <x:v>0</x:v>
      </x:c>
    </x:row>
    <x:row r="177" ht="28" customHeight="1">
      <x:c r="A177" s="2" t="str">
        <x:v>IND-RIC-SPARK</x:v>
      </x:c>
      <x:c r="B177" s="2" t="str">
        <x:f>IF(VLOOKUP(A177,'Tasks'!$A$2:$X$224,15,FALSE)="","",VLOOKUP(A177,'Tasks'!$A$2:$X$224,15,FALSE))</x:f>
      </x:c>
      <x:c r="C177" s="13" t="n">
        <x:f>VLOOKUP(A177,'Tasks'!$A$2:$X$224,12,FALSE)</x:f>
        <x:v>46326</x:v>
      </x:c>
      <x:c r="D177" s="2" t="n">
        <x:f>IF(B177="",0,LEN(B177)-LEN(SUBSTITUTE(B177,",",""))+1)</x:f>
        <x:v>0</x:v>
      </x:c>
      <x:c r="E177" s="14" t="n">
        <x:f>MAX(P177:W177)</x:f>
        <x:v>0</x:v>
      </x:c>
      <x:c r="F177" s="2" t="n">
        <x:f>COUNTIFS(P177:W177,"BAD ID")</x:f>
        <x:v>0</x:v>
      </x:c>
      <x:c r="G177" s="2" t="str">
        <x:f>IF(D177&gt;8,"TOO MANY",IF(F177&gt;0,"BAD ID",IF(C177&gt;=E177,"OK","LATE")))</x:f>
        <x:v>OK</x:v>
      </x:c>
      <x:c r="H177" s="2" t="str">
        <x:f>TRIM(MID(SUBSTITUTE($B177,",",REPT(" ",100)),1,100))</x:f>
      </x:c>
      <x:c r="I177" s="2" t="str">
        <x:f>TRIM(MID(SUBSTITUTE($B177,",",REPT(" ",100)),101,100))</x:f>
      </x:c>
      <x:c r="J177" s="2" t="str">
        <x:f>TRIM(MID(SUBSTITUTE($B177,",",REPT(" ",100)),201,100))</x:f>
      </x:c>
      <x:c r="K177" s="2" t="str">
        <x:f>TRIM(MID(SUBSTITUTE($B177,",",REPT(" ",100)),301,100))</x:f>
      </x:c>
      <x:c r="L177" s="2" t="str">
        <x:f>TRIM(MID(SUBSTITUTE($B177,",",REPT(" ",100)),401,100))</x:f>
      </x:c>
      <x:c r="M177" s="2" t="str">
        <x:f>TRIM(MID(SUBSTITUTE($B177,",",REPT(" ",100)),501,100))</x:f>
      </x:c>
      <x:c r="N177" s="2" t="str">
        <x:f>TRIM(MID(SUBSTITUTE($B177,",",REPT(" ",100)),601,100))</x:f>
      </x:c>
      <x:c r="O177" s="2" t="str">
        <x:f>TRIM(MID(SUBSTITUTE($B177,",",REPT(" ",100)),701,100))</x:f>
      </x:c>
      <x:c r="P177" s="14" t="n">
        <x:f>IF(H177="",0,IF(COUNTIFS('Tasks'!$A$2:$A$224,H177)=1,INDEX('Tasks'!$M$2:$M$224,MATCH(H177,'Tasks'!$A$2:$A$224,0)),"BAD ID"))</x:f>
        <x:v>0</x:v>
      </x:c>
      <x:c r="Q177" s="14" t="n">
        <x:f>IF(I177="",0,IF(COUNTIFS('Tasks'!$A$2:$A$224,I177)=1,INDEX('Tasks'!$M$2:$M$224,MATCH(I177,'Tasks'!$A$2:$A$224,0)),"BAD ID"))</x:f>
        <x:v>0</x:v>
      </x:c>
      <x:c r="R177" s="14" t="n">
        <x:f>IF(J177="",0,IF(COUNTIFS('Tasks'!$A$2:$A$224,J177)=1,INDEX('Tasks'!$M$2:$M$224,MATCH(J177,'Tasks'!$A$2:$A$224,0)),"BAD ID"))</x:f>
        <x:v>0</x:v>
      </x:c>
      <x:c r="S177" s="14" t="n">
        <x:f>IF(K177="",0,IF(COUNTIFS('Tasks'!$A$2:$A$224,K177)=1,INDEX('Tasks'!$M$2:$M$224,MATCH(K177,'Tasks'!$A$2:$A$224,0)),"BAD ID"))</x:f>
        <x:v>0</x:v>
      </x:c>
      <x:c r="T177" s="14" t="n">
        <x:f>IF(L177="",0,IF(COUNTIFS('Tasks'!$A$2:$A$224,L177)=1,INDEX('Tasks'!$M$2:$M$224,MATCH(L177,'Tasks'!$A$2:$A$224,0)),"BAD ID"))</x:f>
        <x:v>0</x:v>
      </x:c>
      <x:c r="U177" s="14" t="n">
        <x:f>IF(M177="",0,IF(COUNTIFS('Tasks'!$A$2:$A$224,M177)=1,INDEX('Tasks'!$M$2:$M$224,MATCH(M177,'Tasks'!$A$2:$A$224,0)),"BAD ID"))</x:f>
        <x:v>0</x:v>
      </x:c>
      <x:c r="V177" s="14" t="n">
        <x:f>IF(N177="",0,IF(COUNTIFS('Tasks'!$A$2:$A$224,N177)=1,INDEX('Tasks'!$M$2:$M$224,MATCH(N177,'Tasks'!$A$2:$A$224,0)),"BAD ID"))</x:f>
        <x:v>0</x:v>
      </x:c>
      <x:c r="W177" s="14" t="n">
        <x:f>IF(O177="",0,IF(COUNTIFS('Tasks'!$A$2:$A$224,O177)=1,INDEX('Tasks'!$M$2:$M$224,MATCH(O177,'Tasks'!$A$2:$A$224,0)),"BAD ID"))</x:f>
        <x:v>0</x:v>
      </x:c>
    </x:row>
    <x:row r="178" ht="28" customHeight="1">
      <x:c r="A178" s="2" t="str">
        <x:v>DEMO-RIC-R1</x:v>
      </x:c>
      <x:c r="B178" s="2" t="str">
        <x:f>IF(VLOOKUP(A178,'Tasks'!$A$2:$X$224,15,FALSE)="","",VLOOKUP(A178,'Tasks'!$A$2:$X$224,15,FALSE))</x:f>
        <x:v>DEMO-02</x:v>
      </x:c>
      <x:c r="C178" s="13" t="n">
        <x:f>VLOOKUP(A178,'Tasks'!$A$2:$X$224,12,FALSE)</x:f>
        <x:v>46325</x:v>
      </x:c>
      <x:c r="D178" s="2" t="n">
        <x:f>IF(B178="",0,LEN(B178)-LEN(SUBSTITUTE(B178,",",""))+1)</x:f>
        <x:v>1</x:v>
      </x:c>
      <x:c r="E178" s="14" t="n">
        <x:f>MAX(P178:W178)</x:f>
        <x:v>46324</x:v>
      </x:c>
      <x:c r="F178" s="2" t="n">
        <x:f>COUNTIFS(P178:W178,"BAD ID")</x:f>
        <x:v>0</x:v>
      </x:c>
      <x:c r="G178" s="2" t="str">
        <x:f>IF(D178&gt;8,"TOO MANY",IF(F178&gt;0,"BAD ID",IF(C178&gt;=E178,"OK","LATE")))</x:f>
        <x:v>OK</x:v>
      </x:c>
      <x:c r="H178" s="2" t="str">
        <x:f>TRIM(MID(SUBSTITUTE($B178,",",REPT(" ",100)),1,100))</x:f>
        <x:v>DEMO-02</x:v>
      </x:c>
      <x:c r="I178" s="2" t="str">
        <x:f>TRIM(MID(SUBSTITUTE($B178,",",REPT(" ",100)),101,100))</x:f>
      </x:c>
      <x:c r="J178" s="2" t="str">
        <x:f>TRIM(MID(SUBSTITUTE($B178,",",REPT(" ",100)),201,100))</x:f>
      </x:c>
      <x:c r="K178" s="2" t="str">
        <x:f>TRIM(MID(SUBSTITUTE($B178,",",REPT(" ",100)),301,100))</x:f>
      </x:c>
      <x:c r="L178" s="2" t="str">
        <x:f>TRIM(MID(SUBSTITUTE($B178,",",REPT(" ",100)),401,100))</x:f>
      </x:c>
      <x:c r="M178" s="2" t="str">
        <x:f>TRIM(MID(SUBSTITUTE($B178,",",REPT(" ",100)),501,100))</x:f>
      </x:c>
      <x:c r="N178" s="2" t="str">
        <x:f>TRIM(MID(SUBSTITUTE($B178,",",REPT(" ",100)),601,100))</x:f>
      </x:c>
      <x:c r="O178" s="2" t="str">
        <x:f>TRIM(MID(SUBSTITUTE($B178,",",REPT(" ",100)),701,100))</x:f>
      </x:c>
      <x:c r="P178" s="14" t="n">
        <x:f>IF(H178="",0,IF(COUNTIFS('Tasks'!$A$2:$A$224,H178)=1,INDEX('Tasks'!$M$2:$M$224,MATCH(H178,'Tasks'!$A$2:$A$224,0)),"BAD ID"))</x:f>
        <x:v>46324</x:v>
      </x:c>
      <x:c r="Q178" s="14" t="n">
        <x:f>IF(I178="",0,IF(COUNTIFS('Tasks'!$A$2:$A$224,I178)=1,INDEX('Tasks'!$M$2:$M$224,MATCH(I178,'Tasks'!$A$2:$A$224,0)),"BAD ID"))</x:f>
        <x:v>0</x:v>
      </x:c>
      <x:c r="R178" s="14" t="n">
        <x:f>IF(J178="",0,IF(COUNTIFS('Tasks'!$A$2:$A$224,J178)=1,INDEX('Tasks'!$M$2:$M$224,MATCH(J178,'Tasks'!$A$2:$A$224,0)),"BAD ID"))</x:f>
        <x:v>0</x:v>
      </x:c>
      <x:c r="S178" s="14" t="n">
        <x:f>IF(K178="",0,IF(COUNTIFS('Tasks'!$A$2:$A$224,K178)=1,INDEX('Tasks'!$M$2:$M$224,MATCH(K178,'Tasks'!$A$2:$A$224,0)),"BAD ID"))</x:f>
        <x:v>0</x:v>
      </x:c>
      <x:c r="T178" s="14" t="n">
        <x:f>IF(L178="",0,IF(COUNTIFS('Tasks'!$A$2:$A$224,L178)=1,INDEX('Tasks'!$M$2:$M$224,MATCH(L178,'Tasks'!$A$2:$A$224,0)),"BAD ID"))</x:f>
        <x:v>0</x:v>
      </x:c>
      <x:c r="U178" s="14" t="n">
        <x:f>IF(M178="",0,IF(COUNTIFS('Tasks'!$A$2:$A$224,M178)=1,INDEX('Tasks'!$M$2:$M$224,MATCH(M178,'Tasks'!$A$2:$A$224,0)),"BAD ID"))</x:f>
        <x:v>0</x:v>
      </x:c>
      <x:c r="V178" s="14" t="n">
        <x:f>IF(N178="",0,IF(COUNTIFS('Tasks'!$A$2:$A$224,N178)=1,INDEX('Tasks'!$M$2:$M$224,MATCH(N178,'Tasks'!$A$2:$A$224,0)),"BAD ID"))</x:f>
        <x:v>0</x:v>
      </x:c>
      <x:c r="W178" s="14" t="n">
        <x:f>IF(O178="",0,IF(COUNTIFS('Tasks'!$A$2:$A$224,O178)=1,INDEX('Tasks'!$M$2:$M$224,MATCH(O178,'Tasks'!$A$2:$A$224,0)),"BAD ID"))</x:f>
        <x:v>0</x:v>
      </x:c>
    </x:row>
    <x:row r="179" ht="28" customHeight="1">
      <x:c r="A179" s="2" t="str">
        <x:v>DEMO-RIC-R2</x:v>
      </x:c>
      <x:c r="B179" s="2" t="str">
        <x:f>IF(VLOOKUP(A179,'Tasks'!$A$2:$X$224,15,FALSE)="","",VLOOKUP(A179,'Tasks'!$A$2:$X$224,15,FALSE))</x:f>
        <x:v>DEMO-03</x:v>
      </x:c>
      <x:c r="C179" s="13" t="n">
        <x:f>VLOOKUP(A179,'Tasks'!$A$2:$X$224,12,FALSE)</x:f>
        <x:v>46326</x:v>
      </x:c>
      <x:c r="D179" s="2" t="n">
        <x:f>IF(B179="",0,LEN(B179)-LEN(SUBSTITUTE(B179,",",""))+1)</x:f>
        <x:v>1</x:v>
      </x:c>
      <x:c r="E179" s="14" t="n">
        <x:f>MAX(P179:W179)</x:f>
        <x:v>46325</x:v>
      </x:c>
      <x:c r="F179" s="2" t="n">
        <x:f>COUNTIFS(P179:W179,"BAD ID")</x:f>
        <x:v>0</x:v>
      </x:c>
      <x:c r="G179" s="2" t="str">
        <x:f>IF(D179&gt;8,"TOO MANY",IF(F179&gt;0,"BAD ID",IF(C179&gt;=E179,"OK","LATE")))</x:f>
        <x:v>OK</x:v>
      </x:c>
      <x:c r="H179" s="2" t="str">
        <x:f>TRIM(MID(SUBSTITUTE($B179,",",REPT(" ",100)),1,100))</x:f>
        <x:v>DEMO-03</x:v>
      </x:c>
      <x:c r="I179" s="2" t="str">
        <x:f>TRIM(MID(SUBSTITUTE($B179,",",REPT(" ",100)),101,100))</x:f>
      </x:c>
      <x:c r="J179" s="2" t="str">
        <x:f>TRIM(MID(SUBSTITUTE($B179,",",REPT(" ",100)),201,100))</x:f>
      </x:c>
      <x:c r="K179" s="2" t="str">
        <x:f>TRIM(MID(SUBSTITUTE($B179,",",REPT(" ",100)),301,100))</x:f>
      </x:c>
      <x:c r="L179" s="2" t="str">
        <x:f>TRIM(MID(SUBSTITUTE($B179,",",REPT(" ",100)),401,100))</x:f>
      </x:c>
      <x:c r="M179" s="2" t="str">
        <x:f>TRIM(MID(SUBSTITUTE($B179,",",REPT(" ",100)),501,100))</x:f>
      </x:c>
      <x:c r="N179" s="2" t="str">
        <x:f>TRIM(MID(SUBSTITUTE($B179,",",REPT(" ",100)),601,100))</x:f>
      </x:c>
      <x:c r="O179" s="2" t="str">
        <x:f>TRIM(MID(SUBSTITUTE($B179,",",REPT(" ",100)),701,100))</x:f>
      </x:c>
      <x:c r="P179" s="14" t="n">
        <x:f>IF(H179="",0,IF(COUNTIFS('Tasks'!$A$2:$A$224,H179)=1,INDEX('Tasks'!$M$2:$M$224,MATCH(H179,'Tasks'!$A$2:$A$224,0)),"BAD ID"))</x:f>
        <x:v>46325</x:v>
      </x:c>
      <x:c r="Q179" s="14" t="n">
        <x:f>IF(I179="",0,IF(COUNTIFS('Tasks'!$A$2:$A$224,I179)=1,INDEX('Tasks'!$M$2:$M$224,MATCH(I179,'Tasks'!$A$2:$A$224,0)),"BAD ID"))</x:f>
        <x:v>0</x:v>
      </x:c>
      <x:c r="R179" s="14" t="n">
        <x:f>IF(J179="",0,IF(COUNTIFS('Tasks'!$A$2:$A$224,J179)=1,INDEX('Tasks'!$M$2:$M$224,MATCH(J179,'Tasks'!$A$2:$A$224,0)),"BAD ID"))</x:f>
        <x:v>0</x:v>
      </x:c>
      <x:c r="S179" s="14" t="n">
        <x:f>IF(K179="",0,IF(COUNTIFS('Tasks'!$A$2:$A$224,K179)=1,INDEX('Tasks'!$M$2:$M$224,MATCH(K179,'Tasks'!$A$2:$A$224,0)),"BAD ID"))</x:f>
        <x:v>0</x:v>
      </x:c>
      <x:c r="T179" s="14" t="n">
        <x:f>IF(L179="",0,IF(COUNTIFS('Tasks'!$A$2:$A$224,L179)=1,INDEX('Tasks'!$M$2:$M$224,MATCH(L179,'Tasks'!$A$2:$A$224,0)),"BAD ID"))</x:f>
        <x:v>0</x:v>
      </x:c>
      <x:c r="U179" s="14" t="n">
        <x:f>IF(M179="",0,IF(COUNTIFS('Tasks'!$A$2:$A$224,M179)=1,INDEX('Tasks'!$M$2:$M$224,MATCH(M179,'Tasks'!$A$2:$A$224,0)),"BAD ID"))</x:f>
        <x:v>0</x:v>
      </x:c>
      <x:c r="V179" s="14" t="n">
        <x:f>IF(N179="",0,IF(COUNTIFS('Tasks'!$A$2:$A$224,N179)=1,INDEX('Tasks'!$M$2:$M$224,MATCH(N179,'Tasks'!$A$2:$A$224,0)),"BAD ID"))</x:f>
        <x:v>0</x:v>
      </x:c>
      <x:c r="W179" s="14" t="n">
        <x:f>IF(O179="",0,IF(COUNTIFS('Tasks'!$A$2:$A$224,O179)=1,INDEX('Tasks'!$M$2:$M$224,MATCH(O179,'Tasks'!$A$2:$A$224,0)),"BAD ID"))</x:f>
        <x:v>0</x:v>
      </x:c>
    </x:row>
    <x:row r="180" ht="28" customHeight="1">
      <x:c r="A180" s="2" t="str">
        <x:v>REV-ALA-1</x:v>
      </x:c>
      <x:c r="B180" s="2" t="str">
        <x:f>IF(VLOOKUP(A180,'Tasks'!$A$2:$X$224,15,FALSE)="","",VLOOKUP(A180,'Tasks'!$A$2:$X$224,15,FALSE))</x:f>
        <x:v>PROC-01</x:v>
      </x:c>
      <x:c r="C180" s="13" t="n">
        <x:f>VLOOKUP(A180,'Tasks'!$A$2:$X$224,12,FALSE)</x:f>
        <x:v>46307</x:v>
      </x:c>
      <x:c r="D180" s="2" t="n">
        <x:f>IF(B180="",0,LEN(B180)-LEN(SUBSTITUTE(B180,",",""))+1)</x:f>
        <x:v>1</x:v>
      </x:c>
      <x:c r="E180" s="14" t="n">
        <x:f>MAX(P180:W180)</x:f>
        <x:v>46307</x:v>
      </x:c>
      <x:c r="F180" s="2" t="n">
        <x:f>COUNTIFS(P180:W180,"BAD ID")</x:f>
        <x:v>0</x:v>
      </x:c>
      <x:c r="G180" s="2" t="str">
        <x:f>IF(D180&gt;8,"TOO MANY",IF(F180&gt;0,"BAD ID",IF(C180&gt;=E180,"OK","LATE")))</x:f>
        <x:v>OK</x:v>
      </x:c>
      <x:c r="H180" s="2" t="str">
        <x:f>TRIM(MID(SUBSTITUTE($B180,",",REPT(" ",100)),1,100))</x:f>
        <x:v>PROC-01</x:v>
      </x:c>
      <x:c r="I180" s="2" t="str">
        <x:f>TRIM(MID(SUBSTITUTE($B180,",",REPT(" ",100)),101,100))</x:f>
      </x:c>
      <x:c r="J180" s="2" t="str">
        <x:f>TRIM(MID(SUBSTITUTE($B180,",",REPT(" ",100)),201,100))</x:f>
      </x:c>
      <x:c r="K180" s="2" t="str">
        <x:f>TRIM(MID(SUBSTITUTE($B180,",",REPT(" ",100)),301,100))</x:f>
      </x:c>
      <x:c r="L180" s="2" t="str">
        <x:f>TRIM(MID(SUBSTITUTE($B180,",",REPT(" ",100)),401,100))</x:f>
      </x:c>
      <x:c r="M180" s="2" t="str">
        <x:f>TRIM(MID(SUBSTITUTE($B180,",",REPT(" ",100)),501,100))</x:f>
      </x:c>
      <x:c r="N180" s="2" t="str">
        <x:f>TRIM(MID(SUBSTITUTE($B180,",",REPT(" ",100)),601,100))</x:f>
      </x:c>
      <x:c r="O180" s="2" t="str">
        <x:f>TRIM(MID(SUBSTITUTE($B180,",",REPT(" ",100)),701,100))</x:f>
      </x:c>
      <x:c r="P180" s="14" t="n">
        <x:f>IF(H180="",0,IF(COUNTIFS('Tasks'!$A$2:$A$224,H180)=1,INDEX('Tasks'!$M$2:$M$224,MATCH(H180,'Tasks'!$A$2:$A$224,0)),"BAD ID"))</x:f>
        <x:v>46307</x:v>
      </x:c>
      <x:c r="Q180" s="14" t="n">
        <x:f>IF(I180="",0,IF(COUNTIFS('Tasks'!$A$2:$A$224,I180)=1,INDEX('Tasks'!$M$2:$M$224,MATCH(I180,'Tasks'!$A$2:$A$224,0)),"BAD ID"))</x:f>
        <x:v>0</x:v>
      </x:c>
      <x:c r="R180" s="14" t="n">
        <x:f>IF(J180="",0,IF(COUNTIFS('Tasks'!$A$2:$A$224,J180)=1,INDEX('Tasks'!$M$2:$M$224,MATCH(J180,'Tasks'!$A$2:$A$224,0)),"BAD ID"))</x:f>
        <x:v>0</x:v>
      </x:c>
      <x:c r="S180" s="14" t="n">
        <x:f>IF(K180="",0,IF(COUNTIFS('Tasks'!$A$2:$A$224,K180)=1,INDEX('Tasks'!$M$2:$M$224,MATCH(K180,'Tasks'!$A$2:$A$224,0)),"BAD ID"))</x:f>
        <x:v>0</x:v>
      </x:c>
      <x:c r="T180" s="14" t="n">
        <x:f>IF(L180="",0,IF(COUNTIFS('Tasks'!$A$2:$A$224,L180)=1,INDEX('Tasks'!$M$2:$M$224,MATCH(L180,'Tasks'!$A$2:$A$224,0)),"BAD ID"))</x:f>
        <x:v>0</x:v>
      </x:c>
      <x:c r="U180" s="14" t="n">
        <x:f>IF(M180="",0,IF(COUNTIFS('Tasks'!$A$2:$A$224,M180)=1,INDEX('Tasks'!$M$2:$M$224,MATCH(M180,'Tasks'!$A$2:$A$224,0)),"BAD ID"))</x:f>
        <x:v>0</x:v>
      </x:c>
      <x:c r="V180" s="14" t="n">
        <x:f>IF(N180="",0,IF(COUNTIFS('Tasks'!$A$2:$A$224,N180)=1,INDEX('Tasks'!$M$2:$M$224,MATCH(N180,'Tasks'!$A$2:$A$224,0)),"BAD ID"))</x:f>
        <x:v>0</x:v>
      </x:c>
      <x:c r="W180" s="14" t="n">
        <x:f>IF(O180="",0,IF(COUNTIFS('Tasks'!$A$2:$A$224,O180)=1,INDEX('Tasks'!$M$2:$M$224,MATCH(O180,'Tasks'!$A$2:$A$224,0)),"BAD ID"))</x:f>
        <x:v>0</x:v>
      </x:c>
    </x:row>
    <x:row r="181" ht="28" customHeight="1">
      <x:c r="A181" s="2" t="str">
        <x:v>COM-ALA-1</x:v>
      </x:c>
      <x:c r="B181" s="2" t="str">
        <x:f>IF(VLOOKUP(A181,'Tasks'!$A$2:$X$224,15,FALSE)="","",VLOOKUP(A181,'Tasks'!$A$2:$X$224,15,FALSE))</x:f>
      </x:c>
      <x:c r="C181" s="13" t="n">
        <x:f>VLOOKUP(A181,'Tasks'!$A$2:$X$224,12,FALSE)</x:f>
        <x:v>46307</x:v>
      </x:c>
      <x:c r="D181" s="2" t="n">
        <x:f>IF(B181="",0,LEN(B181)-LEN(SUBSTITUTE(B181,",",""))+1)</x:f>
        <x:v>0</x:v>
      </x:c>
      <x:c r="E181" s="14" t="n">
        <x:f>MAX(P181:W181)</x:f>
        <x:v>0</x:v>
      </x:c>
      <x:c r="F181" s="2" t="n">
        <x:f>COUNTIFS(P181:W181,"BAD ID")</x:f>
        <x:v>0</x:v>
      </x:c>
      <x:c r="G181" s="2" t="str">
        <x:f>IF(D181&gt;8,"TOO MANY",IF(F181&gt;0,"BAD ID",IF(C181&gt;=E181,"OK","LATE")))</x:f>
        <x:v>OK</x:v>
      </x:c>
      <x:c r="H181" s="2" t="str">
        <x:f>TRIM(MID(SUBSTITUTE($B181,",",REPT(" ",100)),1,100))</x:f>
      </x:c>
      <x:c r="I181" s="2" t="str">
        <x:f>TRIM(MID(SUBSTITUTE($B181,",",REPT(" ",100)),101,100))</x:f>
      </x:c>
      <x:c r="J181" s="2" t="str">
        <x:f>TRIM(MID(SUBSTITUTE($B181,",",REPT(" ",100)),201,100))</x:f>
      </x:c>
      <x:c r="K181" s="2" t="str">
        <x:f>TRIM(MID(SUBSTITUTE($B181,",",REPT(" ",100)),301,100))</x:f>
      </x:c>
      <x:c r="L181" s="2" t="str">
        <x:f>TRIM(MID(SUBSTITUTE($B181,",",REPT(" ",100)),401,100))</x:f>
      </x:c>
      <x:c r="M181" s="2" t="str">
        <x:f>TRIM(MID(SUBSTITUTE($B181,",",REPT(" ",100)),501,100))</x:f>
      </x:c>
      <x:c r="N181" s="2" t="str">
        <x:f>TRIM(MID(SUBSTITUTE($B181,",",REPT(" ",100)),601,100))</x:f>
      </x:c>
      <x:c r="O181" s="2" t="str">
        <x:f>TRIM(MID(SUBSTITUTE($B181,",",REPT(" ",100)),701,100))</x:f>
      </x:c>
      <x:c r="P181" s="14" t="n">
        <x:f>IF(H181="",0,IF(COUNTIFS('Tasks'!$A$2:$A$224,H181)=1,INDEX('Tasks'!$M$2:$M$224,MATCH(H181,'Tasks'!$A$2:$A$224,0)),"BAD ID"))</x:f>
        <x:v>0</x:v>
      </x:c>
      <x:c r="Q181" s="14" t="n">
        <x:f>IF(I181="",0,IF(COUNTIFS('Tasks'!$A$2:$A$224,I181)=1,INDEX('Tasks'!$M$2:$M$224,MATCH(I181,'Tasks'!$A$2:$A$224,0)),"BAD ID"))</x:f>
        <x:v>0</x:v>
      </x:c>
      <x:c r="R181" s="14" t="n">
        <x:f>IF(J181="",0,IF(COUNTIFS('Tasks'!$A$2:$A$224,J181)=1,INDEX('Tasks'!$M$2:$M$224,MATCH(J181,'Tasks'!$A$2:$A$224,0)),"BAD ID"))</x:f>
        <x:v>0</x:v>
      </x:c>
      <x:c r="S181" s="14" t="n">
        <x:f>IF(K181="",0,IF(COUNTIFS('Tasks'!$A$2:$A$224,K181)=1,INDEX('Tasks'!$M$2:$M$224,MATCH(K181,'Tasks'!$A$2:$A$224,0)),"BAD ID"))</x:f>
        <x:v>0</x:v>
      </x:c>
      <x:c r="T181" s="14" t="n">
        <x:f>IF(L181="",0,IF(COUNTIFS('Tasks'!$A$2:$A$224,L181)=1,INDEX('Tasks'!$M$2:$M$224,MATCH(L181,'Tasks'!$A$2:$A$224,0)),"BAD ID"))</x:f>
        <x:v>0</x:v>
      </x:c>
      <x:c r="U181" s="14" t="n">
        <x:f>IF(M181="",0,IF(COUNTIFS('Tasks'!$A$2:$A$224,M181)=1,INDEX('Tasks'!$M$2:$M$224,MATCH(M181,'Tasks'!$A$2:$A$224,0)),"BAD ID"))</x:f>
        <x:v>0</x:v>
      </x:c>
      <x:c r="V181" s="14" t="n">
        <x:f>IF(N181="",0,IF(COUNTIFS('Tasks'!$A$2:$A$224,N181)=1,INDEX('Tasks'!$M$2:$M$224,MATCH(N181,'Tasks'!$A$2:$A$224,0)),"BAD ID"))</x:f>
        <x:v>0</x:v>
      </x:c>
      <x:c r="W181" s="14" t="n">
        <x:f>IF(O181="",0,IF(COUNTIFS('Tasks'!$A$2:$A$224,O181)=1,INDEX('Tasks'!$M$2:$M$224,MATCH(O181,'Tasks'!$A$2:$A$224,0)),"BAD ID"))</x:f>
        <x:v>0</x:v>
      </x:c>
    </x:row>
    <x:row r="182" ht="28" customHeight="1">
      <x:c r="A182" s="2" t="str">
        <x:v>IND-ALA-AI1</x:v>
      </x:c>
      <x:c r="B182" s="2" t="str">
        <x:f>IF(VLOOKUP(A182,'Tasks'!$A$2:$X$224,15,FALSE)="","",VLOOKUP(A182,'Tasks'!$A$2:$X$224,15,FALSE))</x:f>
      </x:c>
      <x:c r="C182" s="13" t="n">
        <x:f>VLOOKUP(A182,'Tasks'!$A$2:$X$224,12,FALSE)</x:f>
        <x:v>46313</x:v>
      </x:c>
      <x:c r="D182" s="2" t="n">
        <x:f>IF(B182="",0,LEN(B182)-LEN(SUBSTITUTE(B182,",",""))+1)</x:f>
        <x:v>0</x:v>
      </x:c>
      <x:c r="E182" s="14" t="n">
        <x:f>MAX(P182:W182)</x:f>
        <x:v>0</x:v>
      </x:c>
      <x:c r="F182" s="2" t="n">
        <x:f>COUNTIFS(P182:W182,"BAD ID")</x:f>
        <x:v>0</x:v>
      </x:c>
      <x:c r="G182" s="2" t="str">
        <x:f>IF(D182&gt;8,"TOO MANY",IF(F182&gt;0,"BAD ID",IF(C182&gt;=E182,"OK","LATE")))</x:f>
        <x:v>OK</x:v>
      </x:c>
      <x:c r="H182" s="2" t="str">
        <x:f>TRIM(MID(SUBSTITUTE($B182,",",REPT(" ",100)),1,100))</x:f>
      </x:c>
      <x:c r="I182" s="2" t="str">
        <x:f>TRIM(MID(SUBSTITUTE($B182,",",REPT(" ",100)),101,100))</x:f>
      </x:c>
      <x:c r="J182" s="2" t="str">
        <x:f>TRIM(MID(SUBSTITUTE($B182,",",REPT(" ",100)),201,100))</x:f>
      </x:c>
      <x:c r="K182" s="2" t="str">
        <x:f>TRIM(MID(SUBSTITUTE($B182,",",REPT(" ",100)),301,100))</x:f>
      </x:c>
      <x:c r="L182" s="2" t="str">
        <x:f>TRIM(MID(SUBSTITUTE($B182,",",REPT(" ",100)),401,100))</x:f>
      </x:c>
      <x:c r="M182" s="2" t="str">
        <x:f>TRIM(MID(SUBSTITUTE($B182,",",REPT(" ",100)),501,100))</x:f>
      </x:c>
      <x:c r="N182" s="2" t="str">
        <x:f>TRIM(MID(SUBSTITUTE($B182,",",REPT(" ",100)),601,100))</x:f>
      </x:c>
      <x:c r="O182" s="2" t="str">
        <x:f>TRIM(MID(SUBSTITUTE($B182,",",REPT(" ",100)),701,100))</x:f>
      </x:c>
      <x:c r="P182" s="14" t="n">
        <x:f>IF(H182="",0,IF(COUNTIFS('Tasks'!$A$2:$A$224,H182)=1,INDEX('Tasks'!$M$2:$M$224,MATCH(H182,'Tasks'!$A$2:$A$224,0)),"BAD ID"))</x:f>
        <x:v>0</x:v>
      </x:c>
      <x:c r="Q182" s="14" t="n">
        <x:f>IF(I182="",0,IF(COUNTIFS('Tasks'!$A$2:$A$224,I182)=1,INDEX('Tasks'!$M$2:$M$224,MATCH(I182,'Tasks'!$A$2:$A$224,0)),"BAD ID"))</x:f>
        <x:v>0</x:v>
      </x:c>
      <x:c r="R182" s="14" t="n">
        <x:f>IF(J182="",0,IF(COUNTIFS('Tasks'!$A$2:$A$224,J182)=1,INDEX('Tasks'!$M$2:$M$224,MATCH(J182,'Tasks'!$A$2:$A$224,0)),"BAD ID"))</x:f>
        <x:v>0</x:v>
      </x:c>
      <x:c r="S182" s="14" t="n">
        <x:f>IF(K182="",0,IF(COUNTIFS('Tasks'!$A$2:$A$224,K182)=1,INDEX('Tasks'!$M$2:$M$224,MATCH(K182,'Tasks'!$A$2:$A$224,0)),"BAD ID"))</x:f>
        <x:v>0</x:v>
      </x:c>
      <x:c r="T182" s="14" t="n">
        <x:f>IF(L182="",0,IF(COUNTIFS('Tasks'!$A$2:$A$224,L182)=1,INDEX('Tasks'!$M$2:$M$224,MATCH(L182,'Tasks'!$A$2:$A$224,0)),"BAD ID"))</x:f>
        <x:v>0</x:v>
      </x:c>
      <x:c r="U182" s="14" t="n">
        <x:f>IF(M182="",0,IF(COUNTIFS('Tasks'!$A$2:$A$224,M182)=1,INDEX('Tasks'!$M$2:$M$224,MATCH(M182,'Tasks'!$A$2:$A$224,0)),"BAD ID"))</x:f>
        <x:v>0</x:v>
      </x:c>
      <x:c r="V182" s="14" t="n">
        <x:f>IF(N182="",0,IF(COUNTIFS('Tasks'!$A$2:$A$224,N182)=1,INDEX('Tasks'!$M$2:$M$224,MATCH(N182,'Tasks'!$A$2:$A$224,0)),"BAD ID"))</x:f>
        <x:v>0</x:v>
      </x:c>
      <x:c r="W182" s="14" t="n">
        <x:f>IF(O182="",0,IF(COUNTIFS('Tasks'!$A$2:$A$224,O182)=1,INDEX('Tasks'!$M$2:$M$224,MATCH(O182,'Tasks'!$A$2:$A$224,0)),"BAD ID"))</x:f>
        <x:v>0</x:v>
      </x:c>
    </x:row>
    <x:row r="183" ht="28" customHeight="1">
      <x:c r="A183" s="2" t="str">
        <x:v>REV-ALA-2</x:v>
      </x:c>
      <x:c r="B183" s="2" t="str">
        <x:f>IF(VLOOKUP(A183,'Tasks'!$A$2:$X$224,15,FALSE)="","",VLOOKUP(A183,'Tasks'!$A$2:$X$224,15,FALSE))</x:f>
        <x:v>PROC-01</x:v>
      </x:c>
      <x:c r="C183" s="13" t="n">
        <x:f>VLOOKUP(A183,'Tasks'!$A$2:$X$224,12,FALSE)</x:f>
        <x:v>46314</x:v>
      </x:c>
      <x:c r="D183" s="2" t="n">
        <x:f>IF(B183="",0,LEN(B183)-LEN(SUBSTITUTE(B183,",",""))+1)</x:f>
        <x:v>1</x:v>
      </x:c>
      <x:c r="E183" s="14" t="n">
        <x:f>MAX(P183:W183)</x:f>
        <x:v>46307</x:v>
      </x:c>
      <x:c r="F183" s="2" t="n">
        <x:f>COUNTIFS(P183:W183,"BAD ID")</x:f>
        <x:v>0</x:v>
      </x:c>
      <x:c r="G183" s="2" t="str">
        <x:f>IF(D183&gt;8,"TOO MANY",IF(F183&gt;0,"BAD ID",IF(C183&gt;=E183,"OK","LATE")))</x:f>
        <x:v>OK</x:v>
      </x:c>
      <x:c r="H183" s="2" t="str">
        <x:f>TRIM(MID(SUBSTITUTE($B183,",",REPT(" ",100)),1,100))</x:f>
        <x:v>PROC-01</x:v>
      </x:c>
      <x:c r="I183" s="2" t="str">
        <x:f>TRIM(MID(SUBSTITUTE($B183,",",REPT(" ",100)),101,100))</x:f>
      </x:c>
      <x:c r="J183" s="2" t="str">
        <x:f>TRIM(MID(SUBSTITUTE($B183,",",REPT(" ",100)),201,100))</x:f>
      </x:c>
      <x:c r="K183" s="2" t="str">
        <x:f>TRIM(MID(SUBSTITUTE($B183,",",REPT(" ",100)),301,100))</x:f>
      </x:c>
      <x:c r="L183" s="2" t="str">
        <x:f>TRIM(MID(SUBSTITUTE($B183,",",REPT(" ",100)),401,100))</x:f>
      </x:c>
      <x:c r="M183" s="2" t="str">
        <x:f>TRIM(MID(SUBSTITUTE($B183,",",REPT(" ",100)),501,100))</x:f>
      </x:c>
      <x:c r="N183" s="2" t="str">
        <x:f>TRIM(MID(SUBSTITUTE($B183,",",REPT(" ",100)),601,100))</x:f>
      </x:c>
      <x:c r="O183" s="2" t="str">
        <x:f>TRIM(MID(SUBSTITUTE($B183,",",REPT(" ",100)),701,100))</x:f>
      </x:c>
      <x:c r="P183" s="14" t="n">
        <x:f>IF(H183="",0,IF(COUNTIFS('Tasks'!$A$2:$A$224,H183)=1,INDEX('Tasks'!$M$2:$M$224,MATCH(H183,'Tasks'!$A$2:$A$224,0)),"BAD ID"))</x:f>
        <x:v>46307</x:v>
      </x:c>
      <x:c r="Q183" s="14" t="n">
        <x:f>IF(I183="",0,IF(COUNTIFS('Tasks'!$A$2:$A$224,I183)=1,INDEX('Tasks'!$M$2:$M$224,MATCH(I183,'Tasks'!$A$2:$A$224,0)),"BAD ID"))</x:f>
        <x:v>0</x:v>
      </x:c>
      <x:c r="R183" s="14" t="n">
        <x:f>IF(J183="",0,IF(COUNTIFS('Tasks'!$A$2:$A$224,J183)=1,INDEX('Tasks'!$M$2:$M$224,MATCH(J183,'Tasks'!$A$2:$A$224,0)),"BAD ID"))</x:f>
        <x:v>0</x:v>
      </x:c>
      <x:c r="S183" s="14" t="n">
        <x:f>IF(K183="",0,IF(COUNTIFS('Tasks'!$A$2:$A$224,K183)=1,INDEX('Tasks'!$M$2:$M$224,MATCH(K183,'Tasks'!$A$2:$A$224,0)),"BAD ID"))</x:f>
        <x:v>0</x:v>
      </x:c>
      <x:c r="T183" s="14" t="n">
        <x:f>IF(L183="",0,IF(COUNTIFS('Tasks'!$A$2:$A$224,L183)=1,INDEX('Tasks'!$M$2:$M$224,MATCH(L183,'Tasks'!$A$2:$A$224,0)),"BAD ID"))</x:f>
        <x:v>0</x:v>
      </x:c>
      <x:c r="U183" s="14" t="n">
        <x:f>IF(M183="",0,IF(COUNTIFS('Tasks'!$A$2:$A$224,M183)=1,INDEX('Tasks'!$M$2:$M$224,MATCH(M183,'Tasks'!$A$2:$A$224,0)),"BAD ID"))</x:f>
        <x:v>0</x:v>
      </x:c>
      <x:c r="V183" s="14" t="n">
        <x:f>IF(N183="",0,IF(COUNTIFS('Tasks'!$A$2:$A$224,N183)=1,INDEX('Tasks'!$M$2:$M$224,MATCH(N183,'Tasks'!$A$2:$A$224,0)),"BAD ID"))</x:f>
        <x:v>0</x:v>
      </x:c>
      <x:c r="W183" s="14" t="n">
        <x:f>IF(O183="",0,IF(COUNTIFS('Tasks'!$A$2:$A$224,O183)=1,INDEX('Tasks'!$M$2:$M$224,MATCH(O183,'Tasks'!$A$2:$A$224,0)),"BAD ID"))</x:f>
        <x:v>0</x:v>
      </x:c>
    </x:row>
    <x:row r="184" ht="28" customHeight="1">
      <x:c r="A184" s="2" t="str">
        <x:v>COM-ALA-2</x:v>
      </x:c>
      <x:c r="B184" s="2" t="str">
        <x:f>IF(VLOOKUP(A184,'Tasks'!$A$2:$X$224,15,FALSE)="","",VLOOKUP(A184,'Tasks'!$A$2:$X$224,15,FALSE))</x:f>
      </x:c>
      <x:c r="C184" s="13" t="n">
        <x:f>VLOOKUP(A184,'Tasks'!$A$2:$X$224,12,FALSE)</x:f>
        <x:v>46314</x:v>
      </x:c>
      <x:c r="D184" s="2" t="n">
        <x:f>IF(B184="",0,LEN(B184)-LEN(SUBSTITUTE(B184,",",""))+1)</x:f>
        <x:v>0</x:v>
      </x:c>
      <x:c r="E184" s="14" t="n">
        <x:f>MAX(P184:W184)</x:f>
        <x:v>0</x:v>
      </x:c>
      <x:c r="F184" s="2" t="n">
        <x:f>COUNTIFS(P184:W184,"BAD ID")</x:f>
        <x:v>0</x:v>
      </x:c>
      <x:c r="G184" s="2" t="str">
        <x:f>IF(D184&gt;8,"TOO MANY",IF(F184&gt;0,"BAD ID",IF(C184&gt;=E184,"OK","LATE")))</x:f>
        <x:v>OK</x:v>
      </x:c>
      <x:c r="H184" s="2" t="str">
        <x:f>TRIM(MID(SUBSTITUTE($B184,",",REPT(" ",100)),1,100))</x:f>
      </x:c>
      <x:c r="I184" s="2" t="str">
        <x:f>TRIM(MID(SUBSTITUTE($B184,",",REPT(" ",100)),101,100))</x:f>
      </x:c>
      <x:c r="J184" s="2" t="str">
        <x:f>TRIM(MID(SUBSTITUTE($B184,",",REPT(" ",100)),201,100))</x:f>
      </x:c>
      <x:c r="K184" s="2" t="str">
        <x:f>TRIM(MID(SUBSTITUTE($B184,",",REPT(" ",100)),301,100))</x:f>
      </x:c>
      <x:c r="L184" s="2" t="str">
        <x:f>TRIM(MID(SUBSTITUTE($B184,",",REPT(" ",100)),401,100))</x:f>
      </x:c>
      <x:c r="M184" s="2" t="str">
        <x:f>TRIM(MID(SUBSTITUTE($B184,",",REPT(" ",100)),501,100))</x:f>
      </x:c>
      <x:c r="N184" s="2" t="str">
        <x:f>TRIM(MID(SUBSTITUTE($B184,",",REPT(" ",100)),601,100))</x:f>
      </x:c>
      <x:c r="O184" s="2" t="str">
        <x:f>TRIM(MID(SUBSTITUTE($B184,",",REPT(" ",100)),701,100))</x:f>
      </x:c>
      <x:c r="P184" s="14" t="n">
        <x:f>IF(H184="",0,IF(COUNTIFS('Tasks'!$A$2:$A$224,H184)=1,INDEX('Tasks'!$M$2:$M$224,MATCH(H184,'Tasks'!$A$2:$A$224,0)),"BAD ID"))</x:f>
        <x:v>0</x:v>
      </x:c>
      <x:c r="Q184" s="14" t="n">
        <x:f>IF(I184="",0,IF(COUNTIFS('Tasks'!$A$2:$A$224,I184)=1,INDEX('Tasks'!$M$2:$M$224,MATCH(I184,'Tasks'!$A$2:$A$224,0)),"BAD ID"))</x:f>
        <x:v>0</x:v>
      </x:c>
      <x:c r="R184" s="14" t="n">
        <x:f>IF(J184="",0,IF(COUNTIFS('Tasks'!$A$2:$A$224,J184)=1,INDEX('Tasks'!$M$2:$M$224,MATCH(J184,'Tasks'!$A$2:$A$224,0)),"BAD ID"))</x:f>
        <x:v>0</x:v>
      </x:c>
      <x:c r="S184" s="14" t="n">
        <x:f>IF(K184="",0,IF(COUNTIFS('Tasks'!$A$2:$A$224,K184)=1,INDEX('Tasks'!$M$2:$M$224,MATCH(K184,'Tasks'!$A$2:$A$224,0)),"BAD ID"))</x:f>
        <x:v>0</x:v>
      </x:c>
      <x:c r="T184" s="14" t="n">
        <x:f>IF(L184="",0,IF(COUNTIFS('Tasks'!$A$2:$A$224,L184)=1,INDEX('Tasks'!$M$2:$M$224,MATCH(L184,'Tasks'!$A$2:$A$224,0)),"BAD ID"))</x:f>
        <x:v>0</x:v>
      </x:c>
      <x:c r="U184" s="14" t="n">
        <x:f>IF(M184="",0,IF(COUNTIFS('Tasks'!$A$2:$A$224,M184)=1,INDEX('Tasks'!$M$2:$M$224,MATCH(M184,'Tasks'!$A$2:$A$224,0)),"BAD ID"))</x:f>
        <x:v>0</x:v>
      </x:c>
      <x:c r="V184" s="14" t="n">
        <x:f>IF(N184="",0,IF(COUNTIFS('Tasks'!$A$2:$A$224,N184)=1,INDEX('Tasks'!$M$2:$M$224,MATCH(N184,'Tasks'!$A$2:$A$224,0)),"BAD ID"))</x:f>
        <x:v>0</x:v>
      </x:c>
      <x:c r="W184" s="14" t="n">
        <x:f>IF(O184="",0,IF(COUNTIFS('Tasks'!$A$2:$A$224,O184)=1,INDEX('Tasks'!$M$2:$M$224,MATCH(O184,'Tasks'!$A$2:$A$224,0)),"BAD ID"))</x:f>
        <x:v>0</x:v>
      </x:c>
    </x:row>
    <x:row r="185" ht="28" customHeight="1">
      <x:c r="A185" s="2" t="str">
        <x:v>IND-ALA-AI2</x:v>
      </x:c>
      <x:c r="B185" s="2" t="str">
        <x:f>IF(VLOOKUP(A185,'Tasks'!$A$2:$X$224,15,FALSE)="","",VLOOKUP(A185,'Tasks'!$A$2:$X$224,15,FALSE))</x:f>
      </x:c>
      <x:c r="C185" s="13" t="n">
        <x:f>VLOOKUP(A185,'Tasks'!$A$2:$X$224,12,FALSE)</x:f>
        <x:v>46320</x:v>
      </x:c>
      <x:c r="D185" s="2" t="n">
        <x:f>IF(B185="",0,LEN(B185)-LEN(SUBSTITUTE(B185,",",""))+1)</x:f>
        <x:v>0</x:v>
      </x:c>
      <x:c r="E185" s="14" t="n">
        <x:f>MAX(P185:W185)</x:f>
        <x:v>0</x:v>
      </x:c>
      <x:c r="F185" s="2" t="n">
        <x:f>COUNTIFS(P185:W185,"BAD ID")</x:f>
        <x:v>0</x:v>
      </x:c>
      <x:c r="G185" s="2" t="str">
        <x:f>IF(D185&gt;8,"TOO MANY",IF(F185&gt;0,"BAD ID",IF(C185&gt;=E185,"OK","LATE")))</x:f>
        <x:v>OK</x:v>
      </x:c>
      <x:c r="H185" s="2" t="str">
        <x:f>TRIM(MID(SUBSTITUTE($B185,",",REPT(" ",100)),1,100))</x:f>
      </x:c>
      <x:c r="I185" s="2" t="str">
        <x:f>TRIM(MID(SUBSTITUTE($B185,",",REPT(" ",100)),101,100))</x:f>
      </x:c>
      <x:c r="J185" s="2" t="str">
        <x:f>TRIM(MID(SUBSTITUTE($B185,",",REPT(" ",100)),201,100))</x:f>
      </x:c>
      <x:c r="K185" s="2" t="str">
        <x:f>TRIM(MID(SUBSTITUTE($B185,",",REPT(" ",100)),301,100))</x:f>
      </x:c>
      <x:c r="L185" s="2" t="str">
        <x:f>TRIM(MID(SUBSTITUTE($B185,",",REPT(" ",100)),401,100))</x:f>
      </x:c>
      <x:c r="M185" s="2" t="str">
        <x:f>TRIM(MID(SUBSTITUTE($B185,",",REPT(" ",100)),501,100))</x:f>
      </x:c>
      <x:c r="N185" s="2" t="str">
        <x:f>TRIM(MID(SUBSTITUTE($B185,",",REPT(" ",100)),601,100))</x:f>
      </x:c>
      <x:c r="O185" s="2" t="str">
        <x:f>TRIM(MID(SUBSTITUTE($B185,",",REPT(" ",100)),701,100))</x:f>
      </x:c>
      <x:c r="P185" s="14" t="n">
        <x:f>IF(H185="",0,IF(COUNTIFS('Tasks'!$A$2:$A$224,H185)=1,INDEX('Tasks'!$M$2:$M$224,MATCH(H185,'Tasks'!$A$2:$A$224,0)),"BAD ID"))</x:f>
        <x:v>0</x:v>
      </x:c>
      <x:c r="Q185" s="14" t="n">
        <x:f>IF(I185="",0,IF(COUNTIFS('Tasks'!$A$2:$A$224,I185)=1,INDEX('Tasks'!$M$2:$M$224,MATCH(I185,'Tasks'!$A$2:$A$224,0)),"BAD ID"))</x:f>
        <x:v>0</x:v>
      </x:c>
      <x:c r="R185" s="14" t="n">
        <x:f>IF(J185="",0,IF(COUNTIFS('Tasks'!$A$2:$A$224,J185)=1,INDEX('Tasks'!$M$2:$M$224,MATCH(J185,'Tasks'!$A$2:$A$224,0)),"BAD ID"))</x:f>
        <x:v>0</x:v>
      </x:c>
      <x:c r="S185" s="14" t="n">
        <x:f>IF(K185="",0,IF(COUNTIFS('Tasks'!$A$2:$A$224,K185)=1,INDEX('Tasks'!$M$2:$M$224,MATCH(K185,'Tasks'!$A$2:$A$224,0)),"BAD ID"))</x:f>
        <x:v>0</x:v>
      </x:c>
      <x:c r="T185" s="14" t="n">
        <x:f>IF(L185="",0,IF(COUNTIFS('Tasks'!$A$2:$A$224,L185)=1,INDEX('Tasks'!$M$2:$M$224,MATCH(L185,'Tasks'!$A$2:$A$224,0)),"BAD ID"))</x:f>
        <x:v>0</x:v>
      </x:c>
      <x:c r="U185" s="14" t="n">
        <x:f>IF(M185="",0,IF(COUNTIFS('Tasks'!$A$2:$A$224,M185)=1,INDEX('Tasks'!$M$2:$M$224,MATCH(M185,'Tasks'!$A$2:$A$224,0)),"BAD ID"))</x:f>
        <x:v>0</x:v>
      </x:c>
      <x:c r="V185" s="14" t="n">
        <x:f>IF(N185="",0,IF(COUNTIFS('Tasks'!$A$2:$A$224,N185)=1,INDEX('Tasks'!$M$2:$M$224,MATCH(N185,'Tasks'!$A$2:$A$224,0)),"BAD ID"))</x:f>
        <x:v>0</x:v>
      </x:c>
      <x:c r="W185" s="14" t="n">
        <x:f>IF(O185="",0,IF(COUNTIFS('Tasks'!$A$2:$A$224,O185)=1,INDEX('Tasks'!$M$2:$M$224,MATCH(O185,'Tasks'!$A$2:$A$224,0)),"BAD ID"))</x:f>
        <x:v>0</x:v>
      </x:c>
    </x:row>
    <x:row r="186" ht="28" customHeight="1">
      <x:c r="A186" s="2" t="str">
        <x:v>REV-ALA-3</x:v>
      </x:c>
      <x:c r="B186" s="2" t="str">
        <x:f>IF(VLOOKUP(A186,'Tasks'!$A$2:$X$224,15,FALSE)="","",VLOOKUP(A186,'Tasks'!$A$2:$X$224,15,FALSE))</x:f>
        <x:v>PROC-01</x:v>
      </x:c>
      <x:c r="C186" s="13" t="n">
        <x:f>VLOOKUP(A186,'Tasks'!$A$2:$X$224,12,FALSE)</x:f>
        <x:v>46321</x:v>
      </x:c>
      <x:c r="D186" s="2" t="n">
        <x:f>IF(B186="",0,LEN(B186)-LEN(SUBSTITUTE(B186,",",""))+1)</x:f>
        <x:v>1</x:v>
      </x:c>
      <x:c r="E186" s="14" t="n">
        <x:f>MAX(P186:W186)</x:f>
        <x:v>46307</x:v>
      </x:c>
      <x:c r="F186" s="2" t="n">
        <x:f>COUNTIFS(P186:W186,"BAD ID")</x:f>
        <x:v>0</x:v>
      </x:c>
      <x:c r="G186" s="2" t="str">
        <x:f>IF(D186&gt;8,"TOO MANY",IF(F186&gt;0,"BAD ID",IF(C186&gt;=E186,"OK","LATE")))</x:f>
        <x:v>OK</x:v>
      </x:c>
      <x:c r="H186" s="2" t="str">
        <x:f>TRIM(MID(SUBSTITUTE($B186,",",REPT(" ",100)),1,100))</x:f>
        <x:v>PROC-01</x:v>
      </x:c>
      <x:c r="I186" s="2" t="str">
        <x:f>TRIM(MID(SUBSTITUTE($B186,",",REPT(" ",100)),101,100))</x:f>
      </x:c>
      <x:c r="J186" s="2" t="str">
        <x:f>TRIM(MID(SUBSTITUTE($B186,",",REPT(" ",100)),201,100))</x:f>
      </x:c>
      <x:c r="K186" s="2" t="str">
        <x:f>TRIM(MID(SUBSTITUTE($B186,",",REPT(" ",100)),301,100))</x:f>
      </x:c>
      <x:c r="L186" s="2" t="str">
        <x:f>TRIM(MID(SUBSTITUTE($B186,",",REPT(" ",100)),401,100))</x:f>
      </x:c>
      <x:c r="M186" s="2" t="str">
        <x:f>TRIM(MID(SUBSTITUTE($B186,",",REPT(" ",100)),501,100))</x:f>
      </x:c>
      <x:c r="N186" s="2" t="str">
        <x:f>TRIM(MID(SUBSTITUTE($B186,",",REPT(" ",100)),601,100))</x:f>
      </x:c>
      <x:c r="O186" s="2" t="str">
        <x:f>TRIM(MID(SUBSTITUTE($B186,",",REPT(" ",100)),701,100))</x:f>
      </x:c>
      <x:c r="P186" s="14" t="n">
        <x:f>IF(H186="",0,IF(COUNTIFS('Tasks'!$A$2:$A$224,H186)=1,INDEX('Tasks'!$M$2:$M$224,MATCH(H186,'Tasks'!$A$2:$A$224,0)),"BAD ID"))</x:f>
        <x:v>46307</x:v>
      </x:c>
      <x:c r="Q186" s="14" t="n">
        <x:f>IF(I186="",0,IF(COUNTIFS('Tasks'!$A$2:$A$224,I186)=1,INDEX('Tasks'!$M$2:$M$224,MATCH(I186,'Tasks'!$A$2:$A$224,0)),"BAD ID"))</x:f>
        <x:v>0</x:v>
      </x:c>
      <x:c r="R186" s="14" t="n">
        <x:f>IF(J186="",0,IF(COUNTIFS('Tasks'!$A$2:$A$224,J186)=1,INDEX('Tasks'!$M$2:$M$224,MATCH(J186,'Tasks'!$A$2:$A$224,0)),"BAD ID"))</x:f>
        <x:v>0</x:v>
      </x:c>
      <x:c r="S186" s="14" t="n">
        <x:f>IF(K186="",0,IF(COUNTIFS('Tasks'!$A$2:$A$224,K186)=1,INDEX('Tasks'!$M$2:$M$224,MATCH(K186,'Tasks'!$A$2:$A$224,0)),"BAD ID"))</x:f>
        <x:v>0</x:v>
      </x:c>
      <x:c r="T186" s="14" t="n">
        <x:f>IF(L186="",0,IF(COUNTIFS('Tasks'!$A$2:$A$224,L186)=1,INDEX('Tasks'!$M$2:$M$224,MATCH(L186,'Tasks'!$A$2:$A$224,0)),"BAD ID"))</x:f>
        <x:v>0</x:v>
      </x:c>
      <x:c r="U186" s="14" t="n">
        <x:f>IF(M186="",0,IF(COUNTIFS('Tasks'!$A$2:$A$224,M186)=1,INDEX('Tasks'!$M$2:$M$224,MATCH(M186,'Tasks'!$A$2:$A$224,0)),"BAD ID"))</x:f>
        <x:v>0</x:v>
      </x:c>
      <x:c r="V186" s="14" t="n">
        <x:f>IF(N186="",0,IF(COUNTIFS('Tasks'!$A$2:$A$224,N186)=1,INDEX('Tasks'!$M$2:$M$224,MATCH(N186,'Tasks'!$A$2:$A$224,0)),"BAD ID"))</x:f>
        <x:v>0</x:v>
      </x:c>
      <x:c r="W186" s="14" t="n">
        <x:f>IF(O186="",0,IF(COUNTIFS('Tasks'!$A$2:$A$224,O186)=1,INDEX('Tasks'!$M$2:$M$224,MATCH(O186,'Tasks'!$A$2:$A$224,0)),"BAD ID"))</x:f>
        <x:v>0</x:v>
      </x:c>
    </x:row>
    <x:row r="187" ht="28" customHeight="1">
      <x:c r="A187" s="2" t="str">
        <x:v>COM-ALA-3</x:v>
      </x:c>
      <x:c r="B187" s="2" t="str">
        <x:f>IF(VLOOKUP(A187,'Tasks'!$A$2:$X$224,15,FALSE)="","",VLOOKUP(A187,'Tasks'!$A$2:$X$224,15,FALSE))</x:f>
      </x:c>
      <x:c r="C187" s="13" t="n">
        <x:f>VLOOKUP(A187,'Tasks'!$A$2:$X$224,12,FALSE)</x:f>
        <x:v>46321</x:v>
      </x:c>
      <x:c r="D187" s="2" t="n">
        <x:f>IF(B187="",0,LEN(B187)-LEN(SUBSTITUTE(B187,",",""))+1)</x:f>
        <x:v>0</x:v>
      </x:c>
      <x:c r="E187" s="14" t="n">
        <x:f>MAX(P187:W187)</x:f>
        <x:v>0</x:v>
      </x:c>
      <x:c r="F187" s="2" t="n">
        <x:f>COUNTIFS(P187:W187,"BAD ID")</x:f>
        <x:v>0</x:v>
      </x:c>
      <x:c r="G187" s="2" t="str">
        <x:f>IF(D187&gt;8,"TOO MANY",IF(F187&gt;0,"BAD ID",IF(C187&gt;=E187,"OK","LATE")))</x:f>
        <x:v>OK</x:v>
      </x:c>
      <x:c r="H187" s="2" t="str">
        <x:f>TRIM(MID(SUBSTITUTE($B187,",",REPT(" ",100)),1,100))</x:f>
      </x:c>
      <x:c r="I187" s="2" t="str">
        <x:f>TRIM(MID(SUBSTITUTE($B187,",",REPT(" ",100)),101,100))</x:f>
      </x:c>
      <x:c r="J187" s="2" t="str">
        <x:f>TRIM(MID(SUBSTITUTE($B187,",",REPT(" ",100)),201,100))</x:f>
      </x:c>
      <x:c r="K187" s="2" t="str">
        <x:f>TRIM(MID(SUBSTITUTE($B187,",",REPT(" ",100)),301,100))</x:f>
      </x:c>
      <x:c r="L187" s="2" t="str">
        <x:f>TRIM(MID(SUBSTITUTE($B187,",",REPT(" ",100)),401,100))</x:f>
      </x:c>
      <x:c r="M187" s="2" t="str">
        <x:f>TRIM(MID(SUBSTITUTE($B187,",",REPT(" ",100)),501,100))</x:f>
      </x:c>
      <x:c r="N187" s="2" t="str">
        <x:f>TRIM(MID(SUBSTITUTE($B187,",",REPT(" ",100)),601,100))</x:f>
      </x:c>
      <x:c r="O187" s="2" t="str">
        <x:f>TRIM(MID(SUBSTITUTE($B187,",",REPT(" ",100)),701,100))</x:f>
      </x:c>
      <x:c r="P187" s="14" t="n">
        <x:f>IF(H187="",0,IF(COUNTIFS('Tasks'!$A$2:$A$224,H187)=1,INDEX('Tasks'!$M$2:$M$224,MATCH(H187,'Tasks'!$A$2:$A$224,0)),"BAD ID"))</x:f>
        <x:v>0</x:v>
      </x:c>
      <x:c r="Q187" s="14" t="n">
        <x:f>IF(I187="",0,IF(COUNTIFS('Tasks'!$A$2:$A$224,I187)=1,INDEX('Tasks'!$M$2:$M$224,MATCH(I187,'Tasks'!$A$2:$A$224,0)),"BAD ID"))</x:f>
        <x:v>0</x:v>
      </x:c>
      <x:c r="R187" s="14" t="n">
        <x:f>IF(J187="",0,IF(COUNTIFS('Tasks'!$A$2:$A$224,J187)=1,INDEX('Tasks'!$M$2:$M$224,MATCH(J187,'Tasks'!$A$2:$A$224,0)),"BAD ID"))</x:f>
        <x:v>0</x:v>
      </x:c>
      <x:c r="S187" s="14" t="n">
        <x:f>IF(K187="",0,IF(COUNTIFS('Tasks'!$A$2:$A$224,K187)=1,INDEX('Tasks'!$M$2:$M$224,MATCH(K187,'Tasks'!$A$2:$A$224,0)),"BAD ID"))</x:f>
        <x:v>0</x:v>
      </x:c>
      <x:c r="T187" s="14" t="n">
        <x:f>IF(L187="",0,IF(COUNTIFS('Tasks'!$A$2:$A$224,L187)=1,INDEX('Tasks'!$M$2:$M$224,MATCH(L187,'Tasks'!$A$2:$A$224,0)),"BAD ID"))</x:f>
        <x:v>0</x:v>
      </x:c>
      <x:c r="U187" s="14" t="n">
        <x:f>IF(M187="",0,IF(COUNTIFS('Tasks'!$A$2:$A$224,M187)=1,INDEX('Tasks'!$M$2:$M$224,MATCH(M187,'Tasks'!$A$2:$A$224,0)),"BAD ID"))</x:f>
        <x:v>0</x:v>
      </x:c>
      <x:c r="V187" s="14" t="n">
        <x:f>IF(N187="",0,IF(COUNTIFS('Tasks'!$A$2:$A$224,N187)=1,INDEX('Tasks'!$M$2:$M$224,MATCH(N187,'Tasks'!$A$2:$A$224,0)),"BAD ID"))</x:f>
        <x:v>0</x:v>
      </x:c>
      <x:c r="W187" s="14" t="n">
        <x:f>IF(O187="",0,IF(COUNTIFS('Tasks'!$A$2:$A$224,O187)=1,INDEX('Tasks'!$M$2:$M$224,MATCH(O187,'Tasks'!$A$2:$A$224,0)),"BAD ID"))</x:f>
        <x:v>0</x:v>
      </x:c>
    </x:row>
    <x:row r="188" ht="28" customHeight="1">
      <x:c r="A188" s="2" t="str">
        <x:v>IND-ALA-AI3</x:v>
      </x:c>
      <x:c r="B188" s="2" t="str">
        <x:f>IF(VLOOKUP(A188,'Tasks'!$A$2:$X$224,15,FALSE)="","",VLOOKUP(A188,'Tasks'!$A$2:$X$224,15,FALSE))</x:f>
      </x:c>
      <x:c r="C188" s="13" t="n">
        <x:f>VLOOKUP(A188,'Tasks'!$A$2:$X$224,12,FALSE)</x:f>
        <x:v>46326</x:v>
      </x:c>
      <x:c r="D188" s="2" t="n">
        <x:f>IF(B188="",0,LEN(B188)-LEN(SUBSTITUTE(B188,",",""))+1)</x:f>
        <x:v>0</x:v>
      </x:c>
      <x:c r="E188" s="14" t="n">
        <x:f>MAX(P188:W188)</x:f>
        <x:v>0</x:v>
      </x:c>
      <x:c r="F188" s="2" t="n">
        <x:f>COUNTIFS(P188:W188,"BAD ID")</x:f>
        <x:v>0</x:v>
      </x:c>
      <x:c r="G188" s="2" t="str">
        <x:f>IF(D188&gt;8,"TOO MANY",IF(F188&gt;0,"BAD ID",IF(C188&gt;=E188,"OK","LATE")))</x:f>
        <x:v>OK</x:v>
      </x:c>
      <x:c r="H188" s="2" t="str">
        <x:f>TRIM(MID(SUBSTITUTE($B188,",",REPT(" ",100)),1,100))</x:f>
      </x:c>
      <x:c r="I188" s="2" t="str">
        <x:f>TRIM(MID(SUBSTITUTE($B188,",",REPT(" ",100)),101,100))</x:f>
      </x:c>
      <x:c r="J188" s="2" t="str">
        <x:f>TRIM(MID(SUBSTITUTE($B188,",",REPT(" ",100)),201,100))</x:f>
      </x:c>
      <x:c r="K188" s="2" t="str">
        <x:f>TRIM(MID(SUBSTITUTE($B188,",",REPT(" ",100)),301,100))</x:f>
      </x:c>
      <x:c r="L188" s="2" t="str">
        <x:f>TRIM(MID(SUBSTITUTE($B188,",",REPT(" ",100)),401,100))</x:f>
      </x:c>
      <x:c r="M188" s="2" t="str">
        <x:f>TRIM(MID(SUBSTITUTE($B188,",",REPT(" ",100)),501,100))</x:f>
      </x:c>
      <x:c r="N188" s="2" t="str">
        <x:f>TRIM(MID(SUBSTITUTE($B188,",",REPT(" ",100)),601,100))</x:f>
      </x:c>
      <x:c r="O188" s="2" t="str">
        <x:f>TRIM(MID(SUBSTITUTE($B188,",",REPT(" ",100)),701,100))</x:f>
      </x:c>
      <x:c r="P188" s="14" t="n">
        <x:f>IF(H188="",0,IF(COUNTIFS('Tasks'!$A$2:$A$224,H188)=1,INDEX('Tasks'!$M$2:$M$224,MATCH(H188,'Tasks'!$A$2:$A$224,0)),"BAD ID"))</x:f>
        <x:v>0</x:v>
      </x:c>
      <x:c r="Q188" s="14" t="n">
        <x:f>IF(I188="",0,IF(COUNTIFS('Tasks'!$A$2:$A$224,I188)=1,INDEX('Tasks'!$M$2:$M$224,MATCH(I188,'Tasks'!$A$2:$A$224,0)),"BAD ID"))</x:f>
        <x:v>0</x:v>
      </x:c>
      <x:c r="R188" s="14" t="n">
        <x:f>IF(J188="",0,IF(COUNTIFS('Tasks'!$A$2:$A$224,J188)=1,INDEX('Tasks'!$M$2:$M$224,MATCH(J188,'Tasks'!$A$2:$A$224,0)),"BAD ID"))</x:f>
        <x:v>0</x:v>
      </x:c>
      <x:c r="S188" s="14" t="n">
        <x:f>IF(K188="",0,IF(COUNTIFS('Tasks'!$A$2:$A$224,K188)=1,INDEX('Tasks'!$M$2:$M$224,MATCH(K188,'Tasks'!$A$2:$A$224,0)),"BAD ID"))</x:f>
        <x:v>0</x:v>
      </x:c>
      <x:c r="T188" s="14" t="n">
        <x:f>IF(L188="",0,IF(COUNTIFS('Tasks'!$A$2:$A$224,L188)=1,INDEX('Tasks'!$M$2:$M$224,MATCH(L188,'Tasks'!$A$2:$A$224,0)),"BAD ID"))</x:f>
        <x:v>0</x:v>
      </x:c>
      <x:c r="U188" s="14" t="n">
        <x:f>IF(M188="",0,IF(COUNTIFS('Tasks'!$A$2:$A$224,M188)=1,INDEX('Tasks'!$M$2:$M$224,MATCH(M188,'Tasks'!$A$2:$A$224,0)),"BAD ID"))</x:f>
        <x:v>0</x:v>
      </x:c>
      <x:c r="V188" s="14" t="n">
        <x:f>IF(N188="",0,IF(COUNTIFS('Tasks'!$A$2:$A$224,N188)=1,INDEX('Tasks'!$M$2:$M$224,MATCH(N188,'Tasks'!$A$2:$A$224,0)),"BAD ID"))</x:f>
        <x:v>0</x:v>
      </x:c>
      <x:c r="W188" s="14" t="n">
        <x:f>IF(O188="",0,IF(COUNTIFS('Tasks'!$A$2:$A$224,O188)=1,INDEX('Tasks'!$M$2:$M$224,MATCH(O188,'Tasks'!$A$2:$A$224,0)),"BAD ID"))</x:f>
        <x:v>0</x:v>
      </x:c>
    </x:row>
    <x:row r="189" ht="28" customHeight="1">
      <x:c r="A189" s="2" t="str">
        <x:v>IND-ALA-REF</x:v>
      </x:c>
      <x:c r="B189" s="2" t="str">
        <x:f>IF(VLOOKUP(A189,'Tasks'!$A$2:$X$224,15,FALSE)="","",VLOOKUP(A189,'Tasks'!$A$2:$X$224,15,FALSE))</x:f>
      </x:c>
      <x:c r="C189" s="13" t="n">
        <x:f>VLOOKUP(A189,'Tasks'!$A$2:$X$224,12,FALSE)</x:f>
        <x:v>46325</x:v>
      </x:c>
      <x:c r="D189" s="2" t="n">
        <x:f>IF(B189="",0,LEN(B189)-LEN(SUBSTITUTE(B189,",",""))+1)</x:f>
        <x:v>0</x:v>
      </x:c>
      <x:c r="E189" s="14" t="n">
        <x:f>MAX(P189:W189)</x:f>
        <x:v>0</x:v>
      </x:c>
      <x:c r="F189" s="2" t="n">
        <x:f>COUNTIFS(P189:W189,"BAD ID")</x:f>
        <x:v>0</x:v>
      </x:c>
      <x:c r="G189" s="2" t="str">
        <x:f>IF(D189&gt;8,"TOO MANY",IF(F189&gt;0,"BAD ID",IF(C189&gt;=E189,"OK","LATE")))</x:f>
        <x:v>OK</x:v>
      </x:c>
      <x:c r="H189" s="2" t="str">
        <x:f>TRIM(MID(SUBSTITUTE($B189,",",REPT(" ",100)),1,100))</x:f>
      </x:c>
      <x:c r="I189" s="2" t="str">
        <x:f>TRIM(MID(SUBSTITUTE($B189,",",REPT(" ",100)),101,100))</x:f>
      </x:c>
      <x:c r="J189" s="2" t="str">
        <x:f>TRIM(MID(SUBSTITUTE($B189,",",REPT(" ",100)),201,100))</x:f>
      </x:c>
      <x:c r="K189" s="2" t="str">
        <x:f>TRIM(MID(SUBSTITUTE($B189,",",REPT(" ",100)),301,100))</x:f>
      </x:c>
      <x:c r="L189" s="2" t="str">
        <x:f>TRIM(MID(SUBSTITUTE($B189,",",REPT(" ",100)),401,100))</x:f>
      </x:c>
      <x:c r="M189" s="2" t="str">
        <x:f>TRIM(MID(SUBSTITUTE($B189,",",REPT(" ",100)),501,100))</x:f>
      </x:c>
      <x:c r="N189" s="2" t="str">
        <x:f>TRIM(MID(SUBSTITUTE($B189,",",REPT(" ",100)),601,100))</x:f>
      </x:c>
      <x:c r="O189" s="2" t="str">
        <x:f>TRIM(MID(SUBSTITUTE($B189,",",REPT(" ",100)),701,100))</x:f>
      </x:c>
      <x:c r="P189" s="14" t="n">
        <x:f>IF(H189="",0,IF(COUNTIFS('Tasks'!$A$2:$A$224,H189)=1,INDEX('Tasks'!$M$2:$M$224,MATCH(H189,'Tasks'!$A$2:$A$224,0)),"BAD ID"))</x:f>
        <x:v>0</x:v>
      </x:c>
      <x:c r="Q189" s="14" t="n">
        <x:f>IF(I189="",0,IF(COUNTIFS('Tasks'!$A$2:$A$224,I189)=1,INDEX('Tasks'!$M$2:$M$224,MATCH(I189,'Tasks'!$A$2:$A$224,0)),"BAD ID"))</x:f>
        <x:v>0</x:v>
      </x:c>
      <x:c r="R189" s="14" t="n">
        <x:f>IF(J189="",0,IF(COUNTIFS('Tasks'!$A$2:$A$224,J189)=1,INDEX('Tasks'!$M$2:$M$224,MATCH(J189,'Tasks'!$A$2:$A$224,0)),"BAD ID"))</x:f>
        <x:v>0</x:v>
      </x:c>
      <x:c r="S189" s="14" t="n">
        <x:f>IF(K189="",0,IF(COUNTIFS('Tasks'!$A$2:$A$224,K189)=1,INDEX('Tasks'!$M$2:$M$224,MATCH(K189,'Tasks'!$A$2:$A$224,0)),"BAD ID"))</x:f>
        <x:v>0</x:v>
      </x:c>
      <x:c r="T189" s="14" t="n">
        <x:f>IF(L189="",0,IF(COUNTIFS('Tasks'!$A$2:$A$224,L189)=1,INDEX('Tasks'!$M$2:$M$224,MATCH(L189,'Tasks'!$A$2:$A$224,0)),"BAD ID"))</x:f>
        <x:v>0</x:v>
      </x:c>
      <x:c r="U189" s="14" t="n">
        <x:f>IF(M189="",0,IF(COUNTIFS('Tasks'!$A$2:$A$224,M189)=1,INDEX('Tasks'!$M$2:$M$224,MATCH(M189,'Tasks'!$A$2:$A$224,0)),"BAD ID"))</x:f>
        <x:v>0</x:v>
      </x:c>
      <x:c r="V189" s="14" t="n">
        <x:f>IF(N189="",0,IF(COUNTIFS('Tasks'!$A$2:$A$224,N189)=1,INDEX('Tasks'!$M$2:$M$224,MATCH(N189,'Tasks'!$A$2:$A$224,0)),"BAD ID"))</x:f>
        <x:v>0</x:v>
      </x:c>
      <x:c r="W189" s="14" t="n">
        <x:f>IF(O189="",0,IF(COUNTIFS('Tasks'!$A$2:$A$224,O189)=1,INDEX('Tasks'!$M$2:$M$224,MATCH(O189,'Tasks'!$A$2:$A$224,0)),"BAD ID"))</x:f>
        <x:v>0</x:v>
      </x:c>
    </x:row>
    <x:row r="190" ht="28" customHeight="1">
      <x:c r="A190" s="2" t="str">
        <x:v>IND-ALA-PEER</x:v>
      </x:c>
      <x:c r="B190" s="2" t="str">
        <x:f>IF(VLOOKUP(A190,'Tasks'!$A$2:$X$224,15,FALSE)="","",VLOOKUP(A190,'Tasks'!$A$2:$X$224,15,FALSE))</x:f>
      </x:c>
      <x:c r="C190" s="13" t="n">
        <x:f>VLOOKUP(A190,'Tasks'!$A$2:$X$224,12,FALSE)</x:f>
        <x:v>46326</x:v>
      </x:c>
      <x:c r="D190" s="2" t="n">
        <x:f>IF(B190="",0,LEN(B190)-LEN(SUBSTITUTE(B190,",",""))+1)</x:f>
        <x:v>0</x:v>
      </x:c>
      <x:c r="E190" s="14" t="n">
        <x:f>MAX(P190:W190)</x:f>
        <x:v>0</x:v>
      </x:c>
      <x:c r="F190" s="2" t="n">
        <x:f>COUNTIFS(P190:W190,"BAD ID")</x:f>
        <x:v>0</x:v>
      </x:c>
      <x:c r="G190" s="2" t="str">
        <x:f>IF(D190&gt;8,"TOO MANY",IF(F190&gt;0,"BAD ID",IF(C190&gt;=E190,"OK","LATE")))</x:f>
        <x:v>OK</x:v>
      </x:c>
      <x:c r="H190" s="2" t="str">
        <x:f>TRIM(MID(SUBSTITUTE($B190,",",REPT(" ",100)),1,100))</x:f>
      </x:c>
      <x:c r="I190" s="2" t="str">
        <x:f>TRIM(MID(SUBSTITUTE($B190,",",REPT(" ",100)),101,100))</x:f>
      </x:c>
      <x:c r="J190" s="2" t="str">
        <x:f>TRIM(MID(SUBSTITUTE($B190,",",REPT(" ",100)),201,100))</x:f>
      </x:c>
      <x:c r="K190" s="2" t="str">
        <x:f>TRIM(MID(SUBSTITUTE($B190,",",REPT(" ",100)),301,100))</x:f>
      </x:c>
      <x:c r="L190" s="2" t="str">
        <x:f>TRIM(MID(SUBSTITUTE($B190,",",REPT(" ",100)),401,100))</x:f>
      </x:c>
      <x:c r="M190" s="2" t="str">
        <x:f>TRIM(MID(SUBSTITUTE($B190,",",REPT(" ",100)),501,100))</x:f>
      </x:c>
      <x:c r="N190" s="2" t="str">
        <x:f>TRIM(MID(SUBSTITUTE($B190,",",REPT(" ",100)),601,100))</x:f>
      </x:c>
      <x:c r="O190" s="2" t="str">
        <x:f>TRIM(MID(SUBSTITUTE($B190,",",REPT(" ",100)),701,100))</x:f>
      </x:c>
      <x:c r="P190" s="14" t="n">
        <x:f>IF(H190="",0,IF(COUNTIFS('Tasks'!$A$2:$A$224,H190)=1,INDEX('Tasks'!$M$2:$M$224,MATCH(H190,'Tasks'!$A$2:$A$224,0)),"BAD ID"))</x:f>
        <x:v>0</x:v>
      </x:c>
      <x:c r="Q190" s="14" t="n">
        <x:f>IF(I190="",0,IF(COUNTIFS('Tasks'!$A$2:$A$224,I190)=1,INDEX('Tasks'!$M$2:$M$224,MATCH(I190,'Tasks'!$A$2:$A$224,0)),"BAD ID"))</x:f>
        <x:v>0</x:v>
      </x:c>
      <x:c r="R190" s="14" t="n">
        <x:f>IF(J190="",0,IF(COUNTIFS('Tasks'!$A$2:$A$224,J190)=1,INDEX('Tasks'!$M$2:$M$224,MATCH(J190,'Tasks'!$A$2:$A$224,0)),"BAD ID"))</x:f>
        <x:v>0</x:v>
      </x:c>
      <x:c r="S190" s="14" t="n">
        <x:f>IF(K190="",0,IF(COUNTIFS('Tasks'!$A$2:$A$224,K190)=1,INDEX('Tasks'!$M$2:$M$224,MATCH(K190,'Tasks'!$A$2:$A$224,0)),"BAD ID"))</x:f>
        <x:v>0</x:v>
      </x:c>
      <x:c r="T190" s="14" t="n">
        <x:f>IF(L190="",0,IF(COUNTIFS('Tasks'!$A$2:$A$224,L190)=1,INDEX('Tasks'!$M$2:$M$224,MATCH(L190,'Tasks'!$A$2:$A$224,0)),"BAD ID"))</x:f>
        <x:v>0</x:v>
      </x:c>
      <x:c r="U190" s="14" t="n">
        <x:f>IF(M190="",0,IF(COUNTIFS('Tasks'!$A$2:$A$224,M190)=1,INDEX('Tasks'!$M$2:$M$224,MATCH(M190,'Tasks'!$A$2:$A$224,0)),"BAD ID"))</x:f>
        <x:v>0</x:v>
      </x:c>
      <x:c r="V190" s="14" t="n">
        <x:f>IF(N190="",0,IF(COUNTIFS('Tasks'!$A$2:$A$224,N190)=1,INDEX('Tasks'!$M$2:$M$224,MATCH(N190,'Tasks'!$A$2:$A$224,0)),"BAD ID"))</x:f>
        <x:v>0</x:v>
      </x:c>
      <x:c r="W190" s="14" t="n">
        <x:f>IF(O190="",0,IF(COUNTIFS('Tasks'!$A$2:$A$224,O190)=1,INDEX('Tasks'!$M$2:$M$224,MATCH(O190,'Tasks'!$A$2:$A$224,0)),"BAD ID"))</x:f>
        <x:v>0</x:v>
      </x:c>
    </x:row>
    <x:row r="191" ht="28" customHeight="1">
      <x:c r="A191" s="2" t="str">
        <x:v>IND-ALA-SPARK</x:v>
      </x:c>
      <x:c r="B191" s="2" t="str">
        <x:f>IF(VLOOKUP(A191,'Tasks'!$A$2:$X$224,15,FALSE)="","",VLOOKUP(A191,'Tasks'!$A$2:$X$224,15,FALSE))</x:f>
      </x:c>
      <x:c r="C191" s="13" t="n">
        <x:f>VLOOKUP(A191,'Tasks'!$A$2:$X$224,12,FALSE)</x:f>
        <x:v>46326</x:v>
      </x:c>
      <x:c r="D191" s="2" t="n">
        <x:f>IF(B191="",0,LEN(B191)-LEN(SUBSTITUTE(B191,",",""))+1)</x:f>
        <x:v>0</x:v>
      </x:c>
      <x:c r="E191" s="14" t="n">
        <x:f>MAX(P191:W191)</x:f>
        <x:v>0</x:v>
      </x:c>
      <x:c r="F191" s="2" t="n">
        <x:f>COUNTIFS(P191:W191,"BAD ID")</x:f>
        <x:v>0</x:v>
      </x:c>
      <x:c r="G191" s="2" t="str">
        <x:f>IF(D191&gt;8,"TOO MANY",IF(F191&gt;0,"BAD ID",IF(C191&gt;=E191,"OK","LATE")))</x:f>
        <x:v>OK</x:v>
      </x:c>
      <x:c r="H191" s="2" t="str">
        <x:f>TRIM(MID(SUBSTITUTE($B191,",",REPT(" ",100)),1,100))</x:f>
      </x:c>
      <x:c r="I191" s="2" t="str">
        <x:f>TRIM(MID(SUBSTITUTE($B191,",",REPT(" ",100)),101,100))</x:f>
      </x:c>
      <x:c r="J191" s="2" t="str">
        <x:f>TRIM(MID(SUBSTITUTE($B191,",",REPT(" ",100)),201,100))</x:f>
      </x:c>
      <x:c r="K191" s="2" t="str">
        <x:f>TRIM(MID(SUBSTITUTE($B191,",",REPT(" ",100)),301,100))</x:f>
      </x:c>
      <x:c r="L191" s="2" t="str">
        <x:f>TRIM(MID(SUBSTITUTE($B191,",",REPT(" ",100)),401,100))</x:f>
      </x:c>
      <x:c r="M191" s="2" t="str">
        <x:f>TRIM(MID(SUBSTITUTE($B191,",",REPT(" ",100)),501,100))</x:f>
      </x:c>
      <x:c r="N191" s="2" t="str">
        <x:f>TRIM(MID(SUBSTITUTE($B191,",",REPT(" ",100)),601,100))</x:f>
      </x:c>
      <x:c r="O191" s="2" t="str">
        <x:f>TRIM(MID(SUBSTITUTE($B191,",",REPT(" ",100)),701,100))</x:f>
      </x:c>
      <x:c r="P191" s="14" t="n">
        <x:f>IF(H191="",0,IF(COUNTIFS('Tasks'!$A$2:$A$224,H191)=1,INDEX('Tasks'!$M$2:$M$224,MATCH(H191,'Tasks'!$A$2:$A$224,0)),"BAD ID"))</x:f>
        <x:v>0</x:v>
      </x:c>
      <x:c r="Q191" s="14" t="n">
        <x:f>IF(I191="",0,IF(COUNTIFS('Tasks'!$A$2:$A$224,I191)=1,INDEX('Tasks'!$M$2:$M$224,MATCH(I191,'Tasks'!$A$2:$A$224,0)),"BAD ID"))</x:f>
        <x:v>0</x:v>
      </x:c>
      <x:c r="R191" s="14" t="n">
        <x:f>IF(J191="",0,IF(COUNTIFS('Tasks'!$A$2:$A$224,J191)=1,INDEX('Tasks'!$M$2:$M$224,MATCH(J191,'Tasks'!$A$2:$A$224,0)),"BAD ID"))</x:f>
        <x:v>0</x:v>
      </x:c>
      <x:c r="S191" s="14" t="n">
        <x:f>IF(K191="",0,IF(COUNTIFS('Tasks'!$A$2:$A$224,K191)=1,INDEX('Tasks'!$M$2:$M$224,MATCH(K191,'Tasks'!$A$2:$A$224,0)),"BAD ID"))</x:f>
        <x:v>0</x:v>
      </x:c>
      <x:c r="T191" s="14" t="n">
        <x:f>IF(L191="",0,IF(COUNTIFS('Tasks'!$A$2:$A$224,L191)=1,INDEX('Tasks'!$M$2:$M$224,MATCH(L191,'Tasks'!$A$2:$A$224,0)),"BAD ID"))</x:f>
        <x:v>0</x:v>
      </x:c>
      <x:c r="U191" s="14" t="n">
        <x:f>IF(M191="",0,IF(COUNTIFS('Tasks'!$A$2:$A$224,M191)=1,INDEX('Tasks'!$M$2:$M$224,MATCH(M191,'Tasks'!$A$2:$A$224,0)),"BAD ID"))</x:f>
        <x:v>0</x:v>
      </x:c>
      <x:c r="V191" s="14" t="n">
        <x:f>IF(N191="",0,IF(COUNTIFS('Tasks'!$A$2:$A$224,N191)=1,INDEX('Tasks'!$M$2:$M$224,MATCH(N191,'Tasks'!$A$2:$A$224,0)),"BAD ID"))</x:f>
        <x:v>0</x:v>
      </x:c>
      <x:c r="W191" s="14" t="n">
        <x:f>IF(O191="",0,IF(COUNTIFS('Tasks'!$A$2:$A$224,O191)=1,INDEX('Tasks'!$M$2:$M$224,MATCH(O191,'Tasks'!$A$2:$A$224,0)),"BAD ID"))</x:f>
        <x:v>0</x:v>
      </x:c>
    </x:row>
    <x:row r="192" ht="28" customHeight="1">
      <x:c r="A192" s="2" t="str">
        <x:v>DEMO-ALA-R1</x:v>
      </x:c>
      <x:c r="B192" s="2" t="str">
        <x:f>IF(VLOOKUP(A192,'Tasks'!$A$2:$X$224,15,FALSE)="","",VLOOKUP(A192,'Tasks'!$A$2:$X$224,15,FALSE))</x:f>
        <x:v>DEMO-02</x:v>
      </x:c>
      <x:c r="C192" s="13" t="n">
        <x:f>VLOOKUP(A192,'Tasks'!$A$2:$X$224,12,FALSE)</x:f>
        <x:v>46325</x:v>
      </x:c>
      <x:c r="D192" s="2" t="n">
        <x:f>IF(B192="",0,LEN(B192)-LEN(SUBSTITUTE(B192,",",""))+1)</x:f>
        <x:v>1</x:v>
      </x:c>
      <x:c r="E192" s="14" t="n">
        <x:f>MAX(P192:W192)</x:f>
        <x:v>46324</x:v>
      </x:c>
      <x:c r="F192" s="2" t="n">
        <x:f>COUNTIFS(P192:W192,"BAD ID")</x:f>
        <x:v>0</x:v>
      </x:c>
      <x:c r="G192" s="2" t="str">
        <x:f>IF(D192&gt;8,"TOO MANY",IF(F192&gt;0,"BAD ID",IF(C192&gt;=E192,"OK","LATE")))</x:f>
        <x:v>OK</x:v>
      </x:c>
      <x:c r="H192" s="2" t="str">
        <x:f>TRIM(MID(SUBSTITUTE($B192,",",REPT(" ",100)),1,100))</x:f>
        <x:v>DEMO-02</x:v>
      </x:c>
      <x:c r="I192" s="2" t="str">
        <x:f>TRIM(MID(SUBSTITUTE($B192,",",REPT(" ",100)),101,100))</x:f>
      </x:c>
      <x:c r="J192" s="2" t="str">
        <x:f>TRIM(MID(SUBSTITUTE($B192,",",REPT(" ",100)),201,100))</x:f>
      </x:c>
      <x:c r="K192" s="2" t="str">
        <x:f>TRIM(MID(SUBSTITUTE($B192,",",REPT(" ",100)),301,100))</x:f>
      </x:c>
      <x:c r="L192" s="2" t="str">
        <x:f>TRIM(MID(SUBSTITUTE($B192,",",REPT(" ",100)),401,100))</x:f>
      </x:c>
      <x:c r="M192" s="2" t="str">
        <x:f>TRIM(MID(SUBSTITUTE($B192,",",REPT(" ",100)),501,100))</x:f>
      </x:c>
      <x:c r="N192" s="2" t="str">
        <x:f>TRIM(MID(SUBSTITUTE($B192,",",REPT(" ",100)),601,100))</x:f>
      </x:c>
      <x:c r="O192" s="2" t="str">
        <x:f>TRIM(MID(SUBSTITUTE($B192,",",REPT(" ",100)),701,100))</x:f>
      </x:c>
      <x:c r="P192" s="14" t="n">
        <x:f>IF(H192="",0,IF(COUNTIFS('Tasks'!$A$2:$A$224,H192)=1,INDEX('Tasks'!$M$2:$M$224,MATCH(H192,'Tasks'!$A$2:$A$224,0)),"BAD ID"))</x:f>
        <x:v>46324</x:v>
      </x:c>
      <x:c r="Q192" s="14" t="n">
        <x:f>IF(I192="",0,IF(COUNTIFS('Tasks'!$A$2:$A$224,I192)=1,INDEX('Tasks'!$M$2:$M$224,MATCH(I192,'Tasks'!$A$2:$A$224,0)),"BAD ID"))</x:f>
        <x:v>0</x:v>
      </x:c>
      <x:c r="R192" s="14" t="n">
        <x:f>IF(J192="",0,IF(COUNTIFS('Tasks'!$A$2:$A$224,J192)=1,INDEX('Tasks'!$M$2:$M$224,MATCH(J192,'Tasks'!$A$2:$A$224,0)),"BAD ID"))</x:f>
        <x:v>0</x:v>
      </x:c>
      <x:c r="S192" s="14" t="n">
        <x:f>IF(K192="",0,IF(COUNTIFS('Tasks'!$A$2:$A$224,K192)=1,INDEX('Tasks'!$M$2:$M$224,MATCH(K192,'Tasks'!$A$2:$A$224,0)),"BAD ID"))</x:f>
        <x:v>0</x:v>
      </x:c>
      <x:c r="T192" s="14" t="n">
        <x:f>IF(L192="",0,IF(COUNTIFS('Tasks'!$A$2:$A$224,L192)=1,INDEX('Tasks'!$M$2:$M$224,MATCH(L192,'Tasks'!$A$2:$A$224,0)),"BAD ID"))</x:f>
        <x:v>0</x:v>
      </x:c>
      <x:c r="U192" s="14" t="n">
        <x:f>IF(M192="",0,IF(COUNTIFS('Tasks'!$A$2:$A$224,M192)=1,INDEX('Tasks'!$M$2:$M$224,MATCH(M192,'Tasks'!$A$2:$A$224,0)),"BAD ID"))</x:f>
        <x:v>0</x:v>
      </x:c>
      <x:c r="V192" s="14" t="n">
        <x:f>IF(N192="",0,IF(COUNTIFS('Tasks'!$A$2:$A$224,N192)=1,INDEX('Tasks'!$M$2:$M$224,MATCH(N192,'Tasks'!$A$2:$A$224,0)),"BAD ID"))</x:f>
        <x:v>0</x:v>
      </x:c>
      <x:c r="W192" s="14" t="n">
        <x:f>IF(O192="",0,IF(COUNTIFS('Tasks'!$A$2:$A$224,O192)=1,INDEX('Tasks'!$M$2:$M$224,MATCH(O192,'Tasks'!$A$2:$A$224,0)),"BAD ID"))</x:f>
        <x:v>0</x:v>
      </x:c>
    </x:row>
    <x:row r="193" ht="28" customHeight="1">
      <x:c r="A193" s="2" t="str">
        <x:v>DEMO-ALA-R2</x:v>
      </x:c>
      <x:c r="B193" s="2" t="str">
        <x:f>IF(VLOOKUP(A193,'Tasks'!$A$2:$X$224,15,FALSE)="","",VLOOKUP(A193,'Tasks'!$A$2:$X$224,15,FALSE))</x:f>
        <x:v>DEMO-03</x:v>
      </x:c>
      <x:c r="C193" s="13" t="n">
        <x:f>VLOOKUP(A193,'Tasks'!$A$2:$X$224,12,FALSE)</x:f>
        <x:v>46326</x:v>
      </x:c>
      <x:c r="D193" s="2" t="n">
        <x:f>IF(B193="",0,LEN(B193)-LEN(SUBSTITUTE(B193,",",""))+1)</x:f>
        <x:v>1</x:v>
      </x:c>
      <x:c r="E193" s="14" t="n">
        <x:f>MAX(P193:W193)</x:f>
        <x:v>46325</x:v>
      </x:c>
      <x:c r="F193" s="2" t="n">
        <x:f>COUNTIFS(P193:W193,"BAD ID")</x:f>
        <x:v>0</x:v>
      </x:c>
      <x:c r="G193" s="2" t="str">
        <x:f>IF(D193&gt;8,"TOO MANY",IF(F193&gt;0,"BAD ID",IF(C193&gt;=E193,"OK","LATE")))</x:f>
        <x:v>OK</x:v>
      </x:c>
      <x:c r="H193" s="2" t="str">
        <x:f>TRIM(MID(SUBSTITUTE($B193,",",REPT(" ",100)),1,100))</x:f>
        <x:v>DEMO-03</x:v>
      </x:c>
      <x:c r="I193" s="2" t="str">
        <x:f>TRIM(MID(SUBSTITUTE($B193,",",REPT(" ",100)),101,100))</x:f>
      </x:c>
      <x:c r="J193" s="2" t="str">
        <x:f>TRIM(MID(SUBSTITUTE($B193,",",REPT(" ",100)),201,100))</x:f>
      </x:c>
      <x:c r="K193" s="2" t="str">
        <x:f>TRIM(MID(SUBSTITUTE($B193,",",REPT(" ",100)),301,100))</x:f>
      </x:c>
      <x:c r="L193" s="2" t="str">
        <x:f>TRIM(MID(SUBSTITUTE($B193,",",REPT(" ",100)),401,100))</x:f>
      </x:c>
      <x:c r="M193" s="2" t="str">
        <x:f>TRIM(MID(SUBSTITUTE($B193,",",REPT(" ",100)),501,100))</x:f>
      </x:c>
      <x:c r="N193" s="2" t="str">
        <x:f>TRIM(MID(SUBSTITUTE($B193,",",REPT(" ",100)),601,100))</x:f>
      </x:c>
      <x:c r="O193" s="2" t="str">
        <x:f>TRIM(MID(SUBSTITUTE($B193,",",REPT(" ",100)),701,100))</x:f>
      </x:c>
      <x:c r="P193" s="14" t="n">
        <x:f>IF(H193="",0,IF(COUNTIFS('Tasks'!$A$2:$A$224,H193)=1,INDEX('Tasks'!$M$2:$M$224,MATCH(H193,'Tasks'!$A$2:$A$224,0)),"BAD ID"))</x:f>
        <x:v>46325</x:v>
      </x:c>
      <x:c r="Q193" s="14" t="n">
        <x:f>IF(I193="",0,IF(COUNTIFS('Tasks'!$A$2:$A$224,I193)=1,INDEX('Tasks'!$M$2:$M$224,MATCH(I193,'Tasks'!$A$2:$A$224,0)),"BAD ID"))</x:f>
        <x:v>0</x:v>
      </x:c>
      <x:c r="R193" s="14" t="n">
        <x:f>IF(J193="",0,IF(COUNTIFS('Tasks'!$A$2:$A$224,J193)=1,INDEX('Tasks'!$M$2:$M$224,MATCH(J193,'Tasks'!$A$2:$A$224,0)),"BAD ID"))</x:f>
        <x:v>0</x:v>
      </x:c>
      <x:c r="S193" s="14" t="n">
        <x:f>IF(K193="",0,IF(COUNTIFS('Tasks'!$A$2:$A$224,K193)=1,INDEX('Tasks'!$M$2:$M$224,MATCH(K193,'Tasks'!$A$2:$A$224,0)),"BAD ID"))</x:f>
        <x:v>0</x:v>
      </x:c>
      <x:c r="T193" s="14" t="n">
        <x:f>IF(L193="",0,IF(COUNTIFS('Tasks'!$A$2:$A$224,L193)=1,INDEX('Tasks'!$M$2:$M$224,MATCH(L193,'Tasks'!$A$2:$A$224,0)),"BAD ID"))</x:f>
        <x:v>0</x:v>
      </x:c>
      <x:c r="U193" s="14" t="n">
        <x:f>IF(M193="",0,IF(COUNTIFS('Tasks'!$A$2:$A$224,M193)=1,INDEX('Tasks'!$M$2:$M$224,MATCH(M193,'Tasks'!$A$2:$A$224,0)),"BAD ID"))</x:f>
        <x:v>0</x:v>
      </x:c>
      <x:c r="V193" s="14" t="n">
        <x:f>IF(N193="",0,IF(COUNTIFS('Tasks'!$A$2:$A$224,N193)=1,INDEX('Tasks'!$M$2:$M$224,MATCH(N193,'Tasks'!$A$2:$A$224,0)),"BAD ID"))</x:f>
        <x:v>0</x:v>
      </x:c>
      <x:c r="W193" s="14" t="n">
        <x:f>IF(O193="",0,IF(COUNTIFS('Tasks'!$A$2:$A$224,O193)=1,INDEX('Tasks'!$M$2:$M$224,MATCH(O193,'Tasks'!$A$2:$A$224,0)),"BAD ID"))</x:f>
        <x:v>0</x:v>
      </x:c>
    </x:row>
    <x:row r="194" ht="28" customHeight="1">
      <x:c r="A194" s="2" t="str">
        <x:v>REV-ZHA-1</x:v>
      </x:c>
      <x:c r="B194" s="2" t="str">
        <x:f>IF(VLOOKUP(A194,'Tasks'!$A$2:$X$224,15,FALSE)="","",VLOOKUP(A194,'Tasks'!$A$2:$X$224,15,FALSE))</x:f>
        <x:v>PROC-01</x:v>
      </x:c>
      <x:c r="C194" s="13" t="n">
        <x:f>VLOOKUP(A194,'Tasks'!$A$2:$X$224,12,FALSE)</x:f>
        <x:v>46307</x:v>
      </x:c>
      <x:c r="D194" s="2" t="n">
        <x:f>IF(B194="",0,LEN(B194)-LEN(SUBSTITUTE(B194,",",""))+1)</x:f>
        <x:v>1</x:v>
      </x:c>
      <x:c r="E194" s="14" t="n">
        <x:f>MAX(P194:W194)</x:f>
        <x:v>46307</x:v>
      </x:c>
      <x:c r="F194" s="2" t="n">
        <x:f>COUNTIFS(P194:W194,"BAD ID")</x:f>
        <x:v>0</x:v>
      </x:c>
      <x:c r="G194" s="2" t="str">
        <x:f>IF(D194&gt;8,"TOO MANY",IF(F194&gt;0,"BAD ID",IF(C194&gt;=E194,"OK","LATE")))</x:f>
        <x:v>OK</x:v>
      </x:c>
      <x:c r="H194" s="2" t="str">
        <x:f>TRIM(MID(SUBSTITUTE($B194,",",REPT(" ",100)),1,100))</x:f>
        <x:v>PROC-01</x:v>
      </x:c>
      <x:c r="I194" s="2" t="str">
        <x:f>TRIM(MID(SUBSTITUTE($B194,",",REPT(" ",100)),101,100))</x:f>
      </x:c>
      <x:c r="J194" s="2" t="str">
        <x:f>TRIM(MID(SUBSTITUTE($B194,",",REPT(" ",100)),201,100))</x:f>
      </x:c>
      <x:c r="K194" s="2" t="str">
        <x:f>TRIM(MID(SUBSTITUTE($B194,",",REPT(" ",100)),301,100))</x:f>
      </x:c>
      <x:c r="L194" s="2" t="str">
        <x:f>TRIM(MID(SUBSTITUTE($B194,",",REPT(" ",100)),401,100))</x:f>
      </x:c>
      <x:c r="M194" s="2" t="str">
        <x:f>TRIM(MID(SUBSTITUTE($B194,",",REPT(" ",100)),501,100))</x:f>
      </x:c>
      <x:c r="N194" s="2" t="str">
        <x:f>TRIM(MID(SUBSTITUTE($B194,",",REPT(" ",100)),601,100))</x:f>
      </x:c>
      <x:c r="O194" s="2" t="str">
        <x:f>TRIM(MID(SUBSTITUTE($B194,",",REPT(" ",100)),701,100))</x:f>
      </x:c>
      <x:c r="P194" s="14" t="n">
        <x:f>IF(H194="",0,IF(COUNTIFS('Tasks'!$A$2:$A$224,H194)=1,INDEX('Tasks'!$M$2:$M$224,MATCH(H194,'Tasks'!$A$2:$A$224,0)),"BAD ID"))</x:f>
        <x:v>46307</x:v>
      </x:c>
      <x:c r="Q194" s="14" t="n">
        <x:f>IF(I194="",0,IF(COUNTIFS('Tasks'!$A$2:$A$224,I194)=1,INDEX('Tasks'!$M$2:$M$224,MATCH(I194,'Tasks'!$A$2:$A$224,0)),"BAD ID"))</x:f>
        <x:v>0</x:v>
      </x:c>
      <x:c r="R194" s="14" t="n">
        <x:f>IF(J194="",0,IF(COUNTIFS('Tasks'!$A$2:$A$224,J194)=1,INDEX('Tasks'!$M$2:$M$224,MATCH(J194,'Tasks'!$A$2:$A$224,0)),"BAD ID"))</x:f>
        <x:v>0</x:v>
      </x:c>
      <x:c r="S194" s="14" t="n">
        <x:f>IF(K194="",0,IF(COUNTIFS('Tasks'!$A$2:$A$224,K194)=1,INDEX('Tasks'!$M$2:$M$224,MATCH(K194,'Tasks'!$A$2:$A$224,0)),"BAD ID"))</x:f>
        <x:v>0</x:v>
      </x:c>
      <x:c r="T194" s="14" t="n">
        <x:f>IF(L194="",0,IF(COUNTIFS('Tasks'!$A$2:$A$224,L194)=1,INDEX('Tasks'!$M$2:$M$224,MATCH(L194,'Tasks'!$A$2:$A$224,0)),"BAD ID"))</x:f>
        <x:v>0</x:v>
      </x:c>
      <x:c r="U194" s="14" t="n">
        <x:f>IF(M194="",0,IF(COUNTIFS('Tasks'!$A$2:$A$224,M194)=1,INDEX('Tasks'!$M$2:$M$224,MATCH(M194,'Tasks'!$A$2:$A$224,0)),"BAD ID"))</x:f>
        <x:v>0</x:v>
      </x:c>
      <x:c r="V194" s="14" t="n">
        <x:f>IF(N194="",0,IF(COUNTIFS('Tasks'!$A$2:$A$224,N194)=1,INDEX('Tasks'!$M$2:$M$224,MATCH(N194,'Tasks'!$A$2:$A$224,0)),"BAD ID"))</x:f>
        <x:v>0</x:v>
      </x:c>
      <x:c r="W194" s="14" t="n">
        <x:f>IF(O194="",0,IF(COUNTIFS('Tasks'!$A$2:$A$224,O194)=1,INDEX('Tasks'!$M$2:$M$224,MATCH(O194,'Tasks'!$A$2:$A$224,0)),"BAD ID"))</x:f>
        <x:v>0</x:v>
      </x:c>
    </x:row>
    <x:row r="195" ht="28" customHeight="1">
      <x:c r="A195" s="2" t="str">
        <x:v>COM-ZHA-1</x:v>
      </x:c>
      <x:c r="B195" s="2" t="str">
        <x:f>IF(VLOOKUP(A195,'Tasks'!$A$2:$X$224,15,FALSE)="","",VLOOKUP(A195,'Tasks'!$A$2:$X$224,15,FALSE))</x:f>
      </x:c>
      <x:c r="C195" s="13" t="n">
        <x:f>VLOOKUP(A195,'Tasks'!$A$2:$X$224,12,FALSE)</x:f>
        <x:v>46307</x:v>
      </x:c>
      <x:c r="D195" s="2" t="n">
        <x:f>IF(B195="",0,LEN(B195)-LEN(SUBSTITUTE(B195,",",""))+1)</x:f>
        <x:v>0</x:v>
      </x:c>
      <x:c r="E195" s="14" t="n">
        <x:f>MAX(P195:W195)</x:f>
        <x:v>0</x:v>
      </x:c>
      <x:c r="F195" s="2" t="n">
        <x:f>COUNTIFS(P195:W195,"BAD ID")</x:f>
        <x:v>0</x:v>
      </x:c>
      <x:c r="G195" s="2" t="str">
        <x:f>IF(D195&gt;8,"TOO MANY",IF(F195&gt;0,"BAD ID",IF(C195&gt;=E195,"OK","LATE")))</x:f>
        <x:v>OK</x:v>
      </x:c>
      <x:c r="H195" s="2" t="str">
        <x:f>TRIM(MID(SUBSTITUTE($B195,",",REPT(" ",100)),1,100))</x:f>
      </x:c>
      <x:c r="I195" s="2" t="str">
        <x:f>TRIM(MID(SUBSTITUTE($B195,",",REPT(" ",100)),101,100))</x:f>
      </x:c>
      <x:c r="J195" s="2" t="str">
        <x:f>TRIM(MID(SUBSTITUTE($B195,",",REPT(" ",100)),201,100))</x:f>
      </x:c>
      <x:c r="K195" s="2" t="str">
        <x:f>TRIM(MID(SUBSTITUTE($B195,",",REPT(" ",100)),301,100))</x:f>
      </x:c>
      <x:c r="L195" s="2" t="str">
        <x:f>TRIM(MID(SUBSTITUTE($B195,",",REPT(" ",100)),401,100))</x:f>
      </x:c>
      <x:c r="M195" s="2" t="str">
        <x:f>TRIM(MID(SUBSTITUTE($B195,",",REPT(" ",100)),501,100))</x:f>
      </x:c>
      <x:c r="N195" s="2" t="str">
        <x:f>TRIM(MID(SUBSTITUTE($B195,",",REPT(" ",100)),601,100))</x:f>
      </x:c>
      <x:c r="O195" s="2" t="str">
        <x:f>TRIM(MID(SUBSTITUTE($B195,",",REPT(" ",100)),701,100))</x:f>
      </x:c>
      <x:c r="P195" s="14" t="n">
        <x:f>IF(H195="",0,IF(COUNTIFS('Tasks'!$A$2:$A$224,H195)=1,INDEX('Tasks'!$M$2:$M$224,MATCH(H195,'Tasks'!$A$2:$A$224,0)),"BAD ID"))</x:f>
        <x:v>0</x:v>
      </x:c>
      <x:c r="Q195" s="14" t="n">
        <x:f>IF(I195="",0,IF(COUNTIFS('Tasks'!$A$2:$A$224,I195)=1,INDEX('Tasks'!$M$2:$M$224,MATCH(I195,'Tasks'!$A$2:$A$224,0)),"BAD ID"))</x:f>
        <x:v>0</x:v>
      </x:c>
      <x:c r="R195" s="14" t="n">
        <x:f>IF(J195="",0,IF(COUNTIFS('Tasks'!$A$2:$A$224,J195)=1,INDEX('Tasks'!$M$2:$M$224,MATCH(J195,'Tasks'!$A$2:$A$224,0)),"BAD ID"))</x:f>
        <x:v>0</x:v>
      </x:c>
      <x:c r="S195" s="14" t="n">
        <x:f>IF(K195="",0,IF(COUNTIFS('Tasks'!$A$2:$A$224,K195)=1,INDEX('Tasks'!$M$2:$M$224,MATCH(K195,'Tasks'!$A$2:$A$224,0)),"BAD ID"))</x:f>
        <x:v>0</x:v>
      </x:c>
      <x:c r="T195" s="14" t="n">
        <x:f>IF(L195="",0,IF(COUNTIFS('Tasks'!$A$2:$A$224,L195)=1,INDEX('Tasks'!$M$2:$M$224,MATCH(L195,'Tasks'!$A$2:$A$224,0)),"BAD ID"))</x:f>
        <x:v>0</x:v>
      </x:c>
      <x:c r="U195" s="14" t="n">
        <x:f>IF(M195="",0,IF(COUNTIFS('Tasks'!$A$2:$A$224,M195)=1,INDEX('Tasks'!$M$2:$M$224,MATCH(M195,'Tasks'!$A$2:$A$224,0)),"BAD ID"))</x:f>
        <x:v>0</x:v>
      </x:c>
      <x:c r="V195" s="14" t="n">
        <x:f>IF(N195="",0,IF(COUNTIFS('Tasks'!$A$2:$A$224,N195)=1,INDEX('Tasks'!$M$2:$M$224,MATCH(N195,'Tasks'!$A$2:$A$224,0)),"BAD ID"))</x:f>
        <x:v>0</x:v>
      </x:c>
      <x:c r="W195" s="14" t="n">
        <x:f>IF(O195="",0,IF(COUNTIFS('Tasks'!$A$2:$A$224,O195)=1,INDEX('Tasks'!$M$2:$M$224,MATCH(O195,'Tasks'!$A$2:$A$224,0)),"BAD ID"))</x:f>
        <x:v>0</x:v>
      </x:c>
    </x:row>
    <x:row r="196" ht="28" customHeight="1">
      <x:c r="A196" s="2" t="str">
        <x:v>IND-ZHA-AI1</x:v>
      </x:c>
      <x:c r="B196" s="2" t="str">
        <x:f>IF(VLOOKUP(A196,'Tasks'!$A$2:$X$224,15,FALSE)="","",VLOOKUP(A196,'Tasks'!$A$2:$X$224,15,FALSE))</x:f>
      </x:c>
      <x:c r="C196" s="13" t="n">
        <x:f>VLOOKUP(A196,'Tasks'!$A$2:$X$224,12,FALSE)</x:f>
        <x:v>46313</x:v>
      </x:c>
      <x:c r="D196" s="2" t="n">
        <x:f>IF(B196="",0,LEN(B196)-LEN(SUBSTITUTE(B196,",",""))+1)</x:f>
        <x:v>0</x:v>
      </x:c>
      <x:c r="E196" s="14" t="n">
        <x:f>MAX(P196:W196)</x:f>
        <x:v>0</x:v>
      </x:c>
      <x:c r="F196" s="2" t="n">
        <x:f>COUNTIFS(P196:W196,"BAD ID")</x:f>
        <x:v>0</x:v>
      </x:c>
      <x:c r="G196" s="2" t="str">
        <x:f>IF(D196&gt;8,"TOO MANY",IF(F196&gt;0,"BAD ID",IF(C196&gt;=E196,"OK","LATE")))</x:f>
        <x:v>OK</x:v>
      </x:c>
      <x:c r="H196" s="2" t="str">
        <x:f>TRIM(MID(SUBSTITUTE($B196,",",REPT(" ",100)),1,100))</x:f>
      </x:c>
      <x:c r="I196" s="2" t="str">
        <x:f>TRIM(MID(SUBSTITUTE($B196,",",REPT(" ",100)),101,100))</x:f>
      </x:c>
      <x:c r="J196" s="2" t="str">
        <x:f>TRIM(MID(SUBSTITUTE($B196,",",REPT(" ",100)),201,100))</x:f>
      </x:c>
      <x:c r="K196" s="2" t="str">
        <x:f>TRIM(MID(SUBSTITUTE($B196,",",REPT(" ",100)),301,100))</x:f>
      </x:c>
      <x:c r="L196" s="2" t="str">
        <x:f>TRIM(MID(SUBSTITUTE($B196,",",REPT(" ",100)),401,100))</x:f>
      </x:c>
      <x:c r="M196" s="2" t="str">
        <x:f>TRIM(MID(SUBSTITUTE($B196,",",REPT(" ",100)),501,100))</x:f>
      </x:c>
      <x:c r="N196" s="2" t="str">
        <x:f>TRIM(MID(SUBSTITUTE($B196,",",REPT(" ",100)),601,100))</x:f>
      </x:c>
      <x:c r="O196" s="2" t="str">
        <x:f>TRIM(MID(SUBSTITUTE($B196,",",REPT(" ",100)),701,100))</x:f>
      </x:c>
      <x:c r="P196" s="14" t="n">
        <x:f>IF(H196="",0,IF(COUNTIFS('Tasks'!$A$2:$A$224,H196)=1,INDEX('Tasks'!$M$2:$M$224,MATCH(H196,'Tasks'!$A$2:$A$224,0)),"BAD ID"))</x:f>
        <x:v>0</x:v>
      </x:c>
      <x:c r="Q196" s="14" t="n">
        <x:f>IF(I196="",0,IF(COUNTIFS('Tasks'!$A$2:$A$224,I196)=1,INDEX('Tasks'!$M$2:$M$224,MATCH(I196,'Tasks'!$A$2:$A$224,0)),"BAD ID"))</x:f>
        <x:v>0</x:v>
      </x:c>
      <x:c r="R196" s="14" t="n">
        <x:f>IF(J196="",0,IF(COUNTIFS('Tasks'!$A$2:$A$224,J196)=1,INDEX('Tasks'!$M$2:$M$224,MATCH(J196,'Tasks'!$A$2:$A$224,0)),"BAD ID"))</x:f>
        <x:v>0</x:v>
      </x:c>
      <x:c r="S196" s="14" t="n">
        <x:f>IF(K196="",0,IF(COUNTIFS('Tasks'!$A$2:$A$224,K196)=1,INDEX('Tasks'!$M$2:$M$224,MATCH(K196,'Tasks'!$A$2:$A$224,0)),"BAD ID"))</x:f>
        <x:v>0</x:v>
      </x:c>
      <x:c r="T196" s="14" t="n">
        <x:f>IF(L196="",0,IF(COUNTIFS('Tasks'!$A$2:$A$224,L196)=1,INDEX('Tasks'!$M$2:$M$224,MATCH(L196,'Tasks'!$A$2:$A$224,0)),"BAD ID"))</x:f>
        <x:v>0</x:v>
      </x:c>
      <x:c r="U196" s="14" t="n">
        <x:f>IF(M196="",0,IF(COUNTIFS('Tasks'!$A$2:$A$224,M196)=1,INDEX('Tasks'!$M$2:$M$224,MATCH(M196,'Tasks'!$A$2:$A$224,0)),"BAD ID"))</x:f>
        <x:v>0</x:v>
      </x:c>
      <x:c r="V196" s="14" t="n">
        <x:f>IF(N196="",0,IF(COUNTIFS('Tasks'!$A$2:$A$224,N196)=1,INDEX('Tasks'!$M$2:$M$224,MATCH(N196,'Tasks'!$A$2:$A$224,0)),"BAD ID"))</x:f>
        <x:v>0</x:v>
      </x:c>
      <x:c r="W196" s="14" t="n">
        <x:f>IF(O196="",0,IF(COUNTIFS('Tasks'!$A$2:$A$224,O196)=1,INDEX('Tasks'!$M$2:$M$224,MATCH(O196,'Tasks'!$A$2:$A$224,0)),"BAD ID"))</x:f>
        <x:v>0</x:v>
      </x:c>
    </x:row>
    <x:row r="197" ht="28" customHeight="1">
      <x:c r="A197" s="2" t="str">
        <x:v>REV-ZHA-2</x:v>
      </x:c>
      <x:c r="B197" s="2" t="str">
        <x:f>IF(VLOOKUP(A197,'Tasks'!$A$2:$X$224,15,FALSE)="","",VLOOKUP(A197,'Tasks'!$A$2:$X$224,15,FALSE))</x:f>
        <x:v>PROC-01</x:v>
      </x:c>
      <x:c r="C197" s="13" t="n">
        <x:f>VLOOKUP(A197,'Tasks'!$A$2:$X$224,12,FALSE)</x:f>
        <x:v>46314</x:v>
      </x:c>
      <x:c r="D197" s="2" t="n">
        <x:f>IF(B197="",0,LEN(B197)-LEN(SUBSTITUTE(B197,",",""))+1)</x:f>
        <x:v>1</x:v>
      </x:c>
      <x:c r="E197" s="14" t="n">
        <x:f>MAX(P197:W197)</x:f>
        <x:v>46307</x:v>
      </x:c>
      <x:c r="F197" s="2" t="n">
        <x:f>COUNTIFS(P197:W197,"BAD ID")</x:f>
        <x:v>0</x:v>
      </x:c>
      <x:c r="G197" s="2" t="str">
        <x:f>IF(D197&gt;8,"TOO MANY",IF(F197&gt;0,"BAD ID",IF(C197&gt;=E197,"OK","LATE")))</x:f>
        <x:v>OK</x:v>
      </x:c>
      <x:c r="H197" s="2" t="str">
        <x:f>TRIM(MID(SUBSTITUTE($B197,",",REPT(" ",100)),1,100))</x:f>
        <x:v>PROC-01</x:v>
      </x:c>
      <x:c r="I197" s="2" t="str">
        <x:f>TRIM(MID(SUBSTITUTE($B197,",",REPT(" ",100)),101,100))</x:f>
      </x:c>
      <x:c r="J197" s="2" t="str">
        <x:f>TRIM(MID(SUBSTITUTE($B197,",",REPT(" ",100)),201,100))</x:f>
      </x:c>
      <x:c r="K197" s="2" t="str">
        <x:f>TRIM(MID(SUBSTITUTE($B197,",",REPT(" ",100)),301,100))</x:f>
      </x:c>
      <x:c r="L197" s="2" t="str">
        <x:f>TRIM(MID(SUBSTITUTE($B197,",",REPT(" ",100)),401,100))</x:f>
      </x:c>
      <x:c r="M197" s="2" t="str">
        <x:f>TRIM(MID(SUBSTITUTE($B197,",",REPT(" ",100)),501,100))</x:f>
      </x:c>
      <x:c r="N197" s="2" t="str">
        <x:f>TRIM(MID(SUBSTITUTE($B197,",",REPT(" ",100)),601,100))</x:f>
      </x:c>
      <x:c r="O197" s="2" t="str">
        <x:f>TRIM(MID(SUBSTITUTE($B197,",",REPT(" ",100)),701,100))</x:f>
      </x:c>
      <x:c r="P197" s="14" t="n">
        <x:f>IF(H197="",0,IF(COUNTIFS('Tasks'!$A$2:$A$224,H197)=1,INDEX('Tasks'!$M$2:$M$224,MATCH(H197,'Tasks'!$A$2:$A$224,0)),"BAD ID"))</x:f>
        <x:v>46307</x:v>
      </x:c>
      <x:c r="Q197" s="14" t="n">
        <x:f>IF(I197="",0,IF(COUNTIFS('Tasks'!$A$2:$A$224,I197)=1,INDEX('Tasks'!$M$2:$M$224,MATCH(I197,'Tasks'!$A$2:$A$224,0)),"BAD ID"))</x:f>
        <x:v>0</x:v>
      </x:c>
      <x:c r="R197" s="14" t="n">
        <x:f>IF(J197="",0,IF(COUNTIFS('Tasks'!$A$2:$A$224,J197)=1,INDEX('Tasks'!$M$2:$M$224,MATCH(J197,'Tasks'!$A$2:$A$224,0)),"BAD ID"))</x:f>
        <x:v>0</x:v>
      </x:c>
      <x:c r="S197" s="14" t="n">
        <x:f>IF(K197="",0,IF(COUNTIFS('Tasks'!$A$2:$A$224,K197)=1,INDEX('Tasks'!$M$2:$M$224,MATCH(K197,'Tasks'!$A$2:$A$224,0)),"BAD ID"))</x:f>
        <x:v>0</x:v>
      </x:c>
      <x:c r="T197" s="14" t="n">
        <x:f>IF(L197="",0,IF(COUNTIFS('Tasks'!$A$2:$A$224,L197)=1,INDEX('Tasks'!$M$2:$M$224,MATCH(L197,'Tasks'!$A$2:$A$224,0)),"BAD ID"))</x:f>
        <x:v>0</x:v>
      </x:c>
      <x:c r="U197" s="14" t="n">
        <x:f>IF(M197="",0,IF(COUNTIFS('Tasks'!$A$2:$A$224,M197)=1,INDEX('Tasks'!$M$2:$M$224,MATCH(M197,'Tasks'!$A$2:$A$224,0)),"BAD ID"))</x:f>
        <x:v>0</x:v>
      </x:c>
      <x:c r="V197" s="14" t="n">
        <x:f>IF(N197="",0,IF(COUNTIFS('Tasks'!$A$2:$A$224,N197)=1,INDEX('Tasks'!$M$2:$M$224,MATCH(N197,'Tasks'!$A$2:$A$224,0)),"BAD ID"))</x:f>
        <x:v>0</x:v>
      </x:c>
      <x:c r="W197" s="14" t="n">
        <x:f>IF(O197="",0,IF(COUNTIFS('Tasks'!$A$2:$A$224,O197)=1,INDEX('Tasks'!$M$2:$M$224,MATCH(O197,'Tasks'!$A$2:$A$224,0)),"BAD ID"))</x:f>
        <x:v>0</x:v>
      </x:c>
    </x:row>
    <x:row r="198" ht="28" customHeight="1">
      <x:c r="A198" s="2" t="str">
        <x:v>COM-ZHA-2</x:v>
      </x:c>
      <x:c r="B198" s="2" t="str">
        <x:f>IF(VLOOKUP(A198,'Tasks'!$A$2:$X$224,15,FALSE)="","",VLOOKUP(A198,'Tasks'!$A$2:$X$224,15,FALSE))</x:f>
      </x:c>
      <x:c r="C198" s="13" t="n">
        <x:f>VLOOKUP(A198,'Tasks'!$A$2:$X$224,12,FALSE)</x:f>
        <x:v>46314</x:v>
      </x:c>
      <x:c r="D198" s="2" t="n">
        <x:f>IF(B198="",0,LEN(B198)-LEN(SUBSTITUTE(B198,",",""))+1)</x:f>
        <x:v>0</x:v>
      </x:c>
      <x:c r="E198" s="14" t="n">
        <x:f>MAX(P198:W198)</x:f>
        <x:v>0</x:v>
      </x:c>
      <x:c r="F198" s="2" t="n">
        <x:f>COUNTIFS(P198:W198,"BAD ID")</x:f>
        <x:v>0</x:v>
      </x:c>
      <x:c r="G198" s="2" t="str">
        <x:f>IF(D198&gt;8,"TOO MANY",IF(F198&gt;0,"BAD ID",IF(C198&gt;=E198,"OK","LATE")))</x:f>
        <x:v>OK</x:v>
      </x:c>
      <x:c r="H198" s="2" t="str">
        <x:f>TRIM(MID(SUBSTITUTE($B198,",",REPT(" ",100)),1,100))</x:f>
      </x:c>
      <x:c r="I198" s="2" t="str">
        <x:f>TRIM(MID(SUBSTITUTE($B198,",",REPT(" ",100)),101,100))</x:f>
      </x:c>
      <x:c r="J198" s="2" t="str">
        <x:f>TRIM(MID(SUBSTITUTE($B198,",",REPT(" ",100)),201,100))</x:f>
      </x:c>
      <x:c r="K198" s="2" t="str">
        <x:f>TRIM(MID(SUBSTITUTE($B198,",",REPT(" ",100)),301,100))</x:f>
      </x:c>
      <x:c r="L198" s="2" t="str">
        <x:f>TRIM(MID(SUBSTITUTE($B198,",",REPT(" ",100)),401,100))</x:f>
      </x:c>
      <x:c r="M198" s="2" t="str">
        <x:f>TRIM(MID(SUBSTITUTE($B198,",",REPT(" ",100)),501,100))</x:f>
      </x:c>
      <x:c r="N198" s="2" t="str">
        <x:f>TRIM(MID(SUBSTITUTE($B198,",",REPT(" ",100)),601,100))</x:f>
      </x:c>
      <x:c r="O198" s="2" t="str">
        <x:f>TRIM(MID(SUBSTITUTE($B198,",",REPT(" ",100)),701,100))</x:f>
      </x:c>
      <x:c r="P198" s="14" t="n">
        <x:f>IF(H198="",0,IF(COUNTIFS('Tasks'!$A$2:$A$224,H198)=1,INDEX('Tasks'!$M$2:$M$224,MATCH(H198,'Tasks'!$A$2:$A$224,0)),"BAD ID"))</x:f>
        <x:v>0</x:v>
      </x:c>
      <x:c r="Q198" s="14" t="n">
        <x:f>IF(I198="",0,IF(COUNTIFS('Tasks'!$A$2:$A$224,I198)=1,INDEX('Tasks'!$M$2:$M$224,MATCH(I198,'Tasks'!$A$2:$A$224,0)),"BAD ID"))</x:f>
        <x:v>0</x:v>
      </x:c>
      <x:c r="R198" s="14" t="n">
        <x:f>IF(J198="",0,IF(COUNTIFS('Tasks'!$A$2:$A$224,J198)=1,INDEX('Tasks'!$M$2:$M$224,MATCH(J198,'Tasks'!$A$2:$A$224,0)),"BAD ID"))</x:f>
        <x:v>0</x:v>
      </x:c>
      <x:c r="S198" s="14" t="n">
        <x:f>IF(K198="",0,IF(COUNTIFS('Tasks'!$A$2:$A$224,K198)=1,INDEX('Tasks'!$M$2:$M$224,MATCH(K198,'Tasks'!$A$2:$A$224,0)),"BAD ID"))</x:f>
        <x:v>0</x:v>
      </x:c>
      <x:c r="T198" s="14" t="n">
        <x:f>IF(L198="",0,IF(COUNTIFS('Tasks'!$A$2:$A$224,L198)=1,INDEX('Tasks'!$M$2:$M$224,MATCH(L198,'Tasks'!$A$2:$A$224,0)),"BAD ID"))</x:f>
        <x:v>0</x:v>
      </x:c>
      <x:c r="U198" s="14" t="n">
        <x:f>IF(M198="",0,IF(COUNTIFS('Tasks'!$A$2:$A$224,M198)=1,INDEX('Tasks'!$M$2:$M$224,MATCH(M198,'Tasks'!$A$2:$A$224,0)),"BAD ID"))</x:f>
        <x:v>0</x:v>
      </x:c>
      <x:c r="V198" s="14" t="n">
        <x:f>IF(N198="",0,IF(COUNTIFS('Tasks'!$A$2:$A$224,N198)=1,INDEX('Tasks'!$M$2:$M$224,MATCH(N198,'Tasks'!$A$2:$A$224,0)),"BAD ID"))</x:f>
        <x:v>0</x:v>
      </x:c>
      <x:c r="W198" s="14" t="n">
        <x:f>IF(O198="",0,IF(COUNTIFS('Tasks'!$A$2:$A$224,O198)=1,INDEX('Tasks'!$M$2:$M$224,MATCH(O198,'Tasks'!$A$2:$A$224,0)),"BAD ID"))</x:f>
        <x:v>0</x:v>
      </x:c>
    </x:row>
    <x:row r="199" ht="28" customHeight="1">
      <x:c r="A199" s="2" t="str">
        <x:v>IND-ZHA-AI2</x:v>
      </x:c>
      <x:c r="B199" s="2" t="str">
        <x:f>IF(VLOOKUP(A199,'Tasks'!$A$2:$X$224,15,FALSE)="","",VLOOKUP(A199,'Tasks'!$A$2:$X$224,15,FALSE))</x:f>
      </x:c>
      <x:c r="C199" s="13" t="n">
        <x:f>VLOOKUP(A199,'Tasks'!$A$2:$X$224,12,FALSE)</x:f>
        <x:v>46320</x:v>
      </x:c>
      <x:c r="D199" s="2" t="n">
        <x:f>IF(B199="",0,LEN(B199)-LEN(SUBSTITUTE(B199,",",""))+1)</x:f>
        <x:v>0</x:v>
      </x:c>
      <x:c r="E199" s="14" t="n">
        <x:f>MAX(P199:W199)</x:f>
        <x:v>0</x:v>
      </x:c>
      <x:c r="F199" s="2" t="n">
        <x:f>COUNTIFS(P199:W199,"BAD ID")</x:f>
        <x:v>0</x:v>
      </x:c>
      <x:c r="G199" s="2" t="str">
        <x:f>IF(D199&gt;8,"TOO MANY",IF(F199&gt;0,"BAD ID",IF(C199&gt;=E199,"OK","LATE")))</x:f>
        <x:v>OK</x:v>
      </x:c>
      <x:c r="H199" s="2" t="str">
        <x:f>TRIM(MID(SUBSTITUTE($B199,",",REPT(" ",100)),1,100))</x:f>
      </x:c>
      <x:c r="I199" s="2" t="str">
        <x:f>TRIM(MID(SUBSTITUTE($B199,",",REPT(" ",100)),101,100))</x:f>
      </x:c>
      <x:c r="J199" s="2" t="str">
        <x:f>TRIM(MID(SUBSTITUTE($B199,",",REPT(" ",100)),201,100))</x:f>
      </x:c>
      <x:c r="K199" s="2" t="str">
        <x:f>TRIM(MID(SUBSTITUTE($B199,",",REPT(" ",100)),301,100))</x:f>
      </x:c>
      <x:c r="L199" s="2" t="str">
        <x:f>TRIM(MID(SUBSTITUTE($B199,",",REPT(" ",100)),401,100))</x:f>
      </x:c>
      <x:c r="M199" s="2" t="str">
        <x:f>TRIM(MID(SUBSTITUTE($B199,",",REPT(" ",100)),501,100))</x:f>
      </x:c>
      <x:c r="N199" s="2" t="str">
        <x:f>TRIM(MID(SUBSTITUTE($B199,",",REPT(" ",100)),601,100))</x:f>
      </x:c>
      <x:c r="O199" s="2" t="str">
        <x:f>TRIM(MID(SUBSTITUTE($B199,",",REPT(" ",100)),701,100))</x:f>
      </x:c>
      <x:c r="P199" s="14" t="n">
        <x:f>IF(H199="",0,IF(COUNTIFS('Tasks'!$A$2:$A$224,H199)=1,INDEX('Tasks'!$M$2:$M$224,MATCH(H199,'Tasks'!$A$2:$A$224,0)),"BAD ID"))</x:f>
        <x:v>0</x:v>
      </x:c>
      <x:c r="Q199" s="14" t="n">
        <x:f>IF(I199="",0,IF(COUNTIFS('Tasks'!$A$2:$A$224,I199)=1,INDEX('Tasks'!$M$2:$M$224,MATCH(I199,'Tasks'!$A$2:$A$224,0)),"BAD ID"))</x:f>
        <x:v>0</x:v>
      </x:c>
      <x:c r="R199" s="14" t="n">
        <x:f>IF(J199="",0,IF(COUNTIFS('Tasks'!$A$2:$A$224,J199)=1,INDEX('Tasks'!$M$2:$M$224,MATCH(J199,'Tasks'!$A$2:$A$224,0)),"BAD ID"))</x:f>
        <x:v>0</x:v>
      </x:c>
      <x:c r="S199" s="14" t="n">
        <x:f>IF(K199="",0,IF(COUNTIFS('Tasks'!$A$2:$A$224,K199)=1,INDEX('Tasks'!$M$2:$M$224,MATCH(K199,'Tasks'!$A$2:$A$224,0)),"BAD ID"))</x:f>
        <x:v>0</x:v>
      </x:c>
      <x:c r="T199" s="14" t="n">
        <x:f>IF(L199="",0,IF(COUNTIFS('Tasks'!$A$2:$A$224,L199)=1,INDEX('Tasks'!$M$2:$M$224,MATCH(L199,'Tasks'!$A$2:$A$224,0)),"BAD ID"))</x:f>
        <x:v>0</x:v>
      </x:c>
      <x:c r="U199" s="14" t="n">
        <x:f>IF(M199="",0,IF(COUNTIFS('Tasks'!$A$2:$A$224,M199)=1,INDEX('Tasks'!$M$2:$M$224,MATCH(M199,'Tasks'!$A$2:$A$224,0)),"BAD ID"))</x:f>
        <x:v>0</x:v>
      </x:c>
      <x:c r="V199" s="14" t="n">
        <x:f>IF(N199="",0,IF(COUNTIFS('Tasks'!$A$2:$A$224,N199)=1,INDEX('Tasks'!$M$2:$M$224,MATCH(N199,'Tasks'!$A$2:$A$224,0)),"BAD ID"))</x:f>
        <x:v>0</x:v>
      </x:c>
      <x:c r="W199" s="14" t="n">
        <x:f>IF(O199="",0,IF(COUNTIFS('Tasks'!$A$2:$A$224,O199)=1,INDEX('Tasks'!$M$2:$M$224,MATCH(O199,'Tasks'!$A$2:$A$224,0)),"BAD ID"))</x:f>
        <x:v>0</x:v>
      </x:c>
    </x:row>
    <x:row r="200" ht="28" customHeight="1">
      <x:c r="A200" s="2" t="str">
        <x:v>REV-ZHA-3</x:v>
      </x:c>
      <x:c r="B200" s="2" t="str">
        <x:f>IF(VLOOKUP(A200,'Tasks'!$A$2:$X$224,15,FALSE)="","",VLOOKUP(A200,'Tasks'!$A$2:$X$224,15,FALSE))</x:f>
        <x:v>PROC-01</x:v>
      </x:c>
      <x:c r="C200" s="13" t="n">
        <x:f>VLOOKUP(A200,'Tasks'!$A$2:$X$224,12,FALSE)</x:f>
        <x:v>46321</x:v>
      </x:c>
      <x:c r="D200" s="2" t="n">
        <x:f>IF(B200="",0,LEN(B200)-LEN(SUBSTITUTE(B200,",",""))+1)</x:f>
        <x:v>1</x:v>
      </x:c>
      <x:c r="E200" s="14" t="n">
        <x:f>MAX(P200:W200)</x:f>
        <x:v>46307</x:v>
      </x:c>
      <x:c r="F200" s="2" t="n">
        <x:f>COUNTIFS(P200:W200,"BAD ID")</x:f>
        <x:v>0</x:v>
      </x:c>
      <x:c r="G200" s="2" t="str">
        <x:f>IF(D200&gt;8,"TOO MANY",IF(F200&gt;0,"BAD ID",IF(C200&gt;=E200,"OK","LATE")))</x:f>
        <x:v>OK</x:v>
      </x:c>
      <x:c r="H200" s="2" t="str">
        <x:f>TRIM(MID(SUBSTITUTE($B200,",",REPT(" ",100)),1,100))</x:f>
        <x:v>PROC-01</x:v>
      </x:c>
      <x:c r="I200" s="2" t="str">
        <x:f>TRIM(MID(SUBSTITUTE($B200,",",REPT(" ",100)),101,100))</x:f>
      </x:c>
      <x:c r="J200" s="2" t="str">
        <x:f>TRIM(MID(SUBSTITUTE($B200,",",REPT(" ",100)),201,100))</x:f>
      </x:c>
      <x:c r="K200" s="2" t="str">
        <x:f>TRIM(MID(SUBSTITUTE($B200,",",REPT(" ",100)),301,100))</x:f>
      </x:c>
      <x:c r="L200" s="2" t="str">
        <x:f>TRIM(MID(SUBSTITUTE($B200,",",REPT(" ",100)),401,100))</x:f>
      </x:c>
      <x:c r="M200" s="2" t="str">
        <x:f>TRIM(MID(SUBSTITUTE($B200,",",REPT(" ",100)),501,100))</x:f>
      </x:c>
      <x:c r="N200" s="2" t="str">
        <x:f>TRIM(MID(SUBSTITUTE($B200,",",REPT(" ",100)),601,100))</x:f>
      </x:c>
      <x:c r="O200" s="2" t="str">
        <x:f>TRIM(MID(SUBSTITUTE($B200,",",REPT(" ",100)),701,100))</x:f>
      </x:c>
      <x:c r="P200" s="14" t="n">
        <x:f>IF(H200="",0,IF(COUNTIFS('Tasks'!$A$2:$A$224,H200)=1,INDEX('Tasks'!$M$2:$M$224,MATCH(H200,'Tasks'!$A$2:$A$224,0)),"BAD ID"))</x:f>
        <x:v>46307</x:v>
      </x:c>
      <x:c r="Q200" s="14" t="n">
        <x:f>IF(I200="",0,IF(COUNTIFS('Tasks'!$A$2:$A$224,I200)=1,INDEX('Tasks'!$M$2:$M$224,MATCH(I200,'Tasks'!$A$2:$A$224,0)),"BAD ID"))</x:f>
        <x:v>0</x:v>
      </x:c>
      <x:c r="R200" s="14" t="n">
        <x:f>IF(J200="",0,IF(COUNTIFS('Tasks'!$A$2:$A$224,J200)=1,INDEX('Tasks'!$M$2:$M$224,MATCH(J200,'Tasks'!$A$2:$A$224,0)),"BAD ID"))</x:f>
        <x:v>0</x:v>
      </x:c>
      <x:c r="S200" s="14" t="n">
        <x:f>IF(K200="",0,IF(COUNTIFS('Tasks'!$A$2:$A$224,K200)=1,INDEX('Tasks'!$M$2:$M$224,MATCH(K200,'Tasks'!$A$2:$A$224,0)),"BAD ID"))</x:f>
        <x:v>0</x:v>
      </x:c>
      <x:c r="T200" s="14" t="n">
        <x:f>IF(L200="",0,IF(COUNTIFS('Tasks'!$A$2:$A$224,L200)=1,INDEX('Tasks'!$M$2:$M$224,MATCH(L200,'Tasks'!$A$2:$A$224,0)),"BAD ID"))</x:f>
        <x:v>0</x:v>
      </x:c>
      <x:c r="U200" s="14" t="n">
        <x:f>IF(M200="",0,IF(COUNTIFS('Tasks'!$A$2:$A$224,M200)=1,INDEX('Tasks'!$M$2:$M$224,MATCH(M200,'Tasks'!$A$2:$A$224,0)),"BAD ID"))</x:f>
        <x:v>0</x:v>
      </x:c>
      <x:c r="V200" s="14" t="n">
        <x:f>IF(N200="",0,IF(COUNTIFS('Tasks'!$A$2:$A$224,N200)=1,INDEX('Tasks'!$M$2:$M$224,MATCH(N200,'Tasks'!$A$2:$A$224,0)),"BAD ID"))</x:f>
        <x:v>0</x:v>
      </x:c>
      <x:c r="W200" s="14" t="n">
        <x:f>IF(O200="",0,IF(COUNTIFS('Tasks'!$A$2:$A$224,O200)=1,INDEX('Tasks'!$M$2:$M$224,MATCH(O200,'Tasks'!$A$2:$A$224,0)),"BAD ID"))</x:f>
        <x:v>0</x:v>
      </x:c>
    </x:row>
    <x:row r="201" ht="28" customHeight="1">
      <x:c r="A201" s="2" t="str">
        <x:v>COM-ZHA-3</x:v>
      </x:c>
      <x:c r="B201" s="2" t="str">
        <x:f>IF(VLOOKUP(A201,'Tasks'!$A$2:$X$224,15,FALSE)="","",VLOOKUP(A201,'Tasks'!$A$2:$X$224,15,FALSE))</x:f>
      </x:c>
      <x:c r="C201" s="13" t="n">
        <x:f>VLOOKUP(A201,'Tasks'!$A$2:$X$224,12,FALSE)</x:f>
        <x:v>46321</x:v>
      </x:c>
      <x:c r="D201" s="2" t="n">
        <x:f>IF(B201="",0,LEN(B201)-LEN(SUBSTITUTE(B201,",",""))+1)</x:f>
        <x:v>0</x:v>
      </x:c>
      <x:c r="E201" s="14" t="n">
        <x:f>MAX(P201:W201)</x:f>
        <x:v>0</x:v>
      </x:c>
      <x:c r="F201" s="2" t="n">
        <x:f>COUNTIFS(P201:W201,"BAD ID")</x:f>
        <x:v>0</x:v>
      </x:c>
      <x:c r="G201" s="2" t="str">
        <x:f>IF(D201&gt;8,"TOO MANY",IF(F201&gt;0,"BAD ID",IF(C201&gt;=E201,"OK","LATE")))</x:f>
        <x:v>OK</x:v>
      </x:c>
      <x:c r="H201" s="2" t="str">
        <x:f>TRIM(MID(SUBSTITUTE($B201,",",REPT(" ",100)),1,100))</x:f>
      </x:c>
      <x:c r="I201" s="2" t="str">
        <x:f>TRIM(MID(SUBSTITUTE($B201,",",REPT(" ",100)),101,100))</x:f>
      </x:c>
      <x:c r="J201" s="2" t="str">
        <x:f>TRIM(MID(SUBSTITUTE($B201,",",REPT(" ",100)),201,100))</x:f>
      </x:c>
      <x:c r="K201" s="2" t="str">
        <x:f>TRIM(MID(SUBSTITUTE($B201,",",REPT(" ",100)),301,100))</x:f>
      </x:c>
      <x:c r="L201" s="2" t="str">
        <x:f>TRIM(MID(SUBSTITUTE($B201,",",REPT(" ",100)),401,100))</x:f>
      </x:c>
      <x:c r="M201" s="2" t="str">
        <x:f>TRIM(MID(SUBSTITUTE($B201,",",REPT(" ",100)),501,100))</x:f>
      </x:c>
      <x:c r="N201" s="2" t="str">
        <x:f>TRIM(MID(SUBSTITUTE($B201,",",REPT(" ",100)),601,100))</x:f>
      </x:c>
      <x:c r="O201" s="2" t="str">
        <x:f>TRIM(MID(SUBSTITUTE($B201,",",REPT(" ",100)),701,100))</x:f>
      </x:c>
      <x:c r="P201" s="14" t="n">
        <x:f>IF(H201="",0,IF(COUNTIFS('Tasks'!$A$2:$A$224,H201)=1,INDEX('Tasks'!$M$2:$M$224,MATCH(H201,'Tasks'!$A$2:$A$224,0)),"BAD ID"))</x:f>
        <x:v>0</x:v>
      </x:c>
      <x:c r="Q201" s="14" t="n">
        <x:f>IF(I201="",0,IF(COUNTIFS('Tasks'!$A$2:$A$224,I201)=1,INDEX('Tasks'!$M$2:$M$224,MATCH(I201,'Tasks'!$A$2:$A$224,0)),"BAD ID"))</x:f>
        <x:v>0</x:v>
      </x:c>
      <x:c r="R201" s="14" t="n">
        <x:f>IF(J201="",0,IF(COUNTIFS('Tasks'!$A$2:$A$224,J201)=1,INDEX('Tasks'!$M$2:$M$224,MATCH(J201,'Tasks'!$A$2:$A$224,0)),"BAD ID"))</x:f>
        <x:v>0</x:v>
      </x:c>
      <x:c r="S201" s="14" t="n">
        <x:f>IF(K201="",0,IF(COUNTIFS('Tasks'!$A$2:$A$224,K201)=1,INDEX('Tasks'!$M$2:$M$224,MATCH(K201,'Tasks'!$A$2:$A$224,0)),"BAD ID"))</x:f>
        <x:v>0</x:v>
      </x:c>
      <x:c r="T201" s="14" t="n">
        <x:f>IF(L201="",0,IF(COUNTIFS('Tasks'!$A$2:$A$224,L201)=1,INDEX('Tasks'!$M$2:$M$224,MATCH(L201,'Tasks'!$A$2:$A$224,0)),"BAD ID"))</x:f>
        <x:v>0</x:v>
      </x:c>
      <x:c r="U201" s="14" t="n">
        <x:f>IF(M201="",0,IF(COUNTIFS('Tasks'!$A$2:$A$224,M201)=1,INDEX('Tasks'!$M$2:$M$224,MATCH(M201,'Tasks'!$A$2:$A$224,0)),"BAD ID"))</x:f>
        <x:v>0</x:v>
      </x:c>
      <x:c r="V201" s="14" t="n">
        <x:f>IF(N201="",0,IF(COUNTIFS('Tasks'!$A$2:$A$224,N201)=1,INDEX('Tasks'!$M$2:$M$224,MATCH(N201,'Tasks'!$A$2:$A$224,0)),"BAD ID"))</x:f>
        <x:v>0</x:v>
      </x:c>
      <x:c r="W201" s="14" t="n">
        <x:f>IF(O201="",0,IF(COUNTIFS('Tasks'!$A$2:$A$224,O201)=1,INDEX('Tasks'!$M$2:$M$224,MATCH(O201,'Tasks'!$A$2:$A$224,0)),"BAD ID"))</x:f>
        <x:v>0</x:v>
      </x:c>
    </x:row>
    <x:row r="202" ht="28" customHeight="1">
      <x:c r="A202" s="2" t="str">
        <x:v>IND-ZHA-AI3</x:v>
      </x:c>
      <x:c r="B202" s="2" t="str">
        <x:f>IF(VLOOKUP(A202,'Tasks'!$A$2:$X$224,15,FALSE)="","",VLOOKUP(A202,'Tasks'!$A$2:$X$224,15,FALSE))</x:f>
      </x:c>
      <x:c r="C202" s="13" t="n">
        <x:f>VLOOKUP(A202,'Tasks'!$A$2:$X$224,12,FALSE)</x:f>
        <x:v>46326</x:v>
      </x:c>
      <x:c r="D202" s="2" t="n">
        <x:f>IF(B202="",0,LEN(B202)-LEN(SUBSTITUTE(B202,",",""))+1)</x:f>
        <x:v>0</x:v>
      </x:c>
      <x:c r="E202" s="14" t="n">
        <x:f>MAX(P202:W202)</x:f>
        <x:v>0</x:v>
      </x:c>
      <x:c r="F202" s="2" t="n">
        <x:f>COUNTIFS(P202:W202,"BAD ID")</x:f>
        <x:v>0</x:v>
      </x:c>
      <x:c r="G202" s="2" t="str">
        <x:f>IF(D202&gt;8,"TOO MANY",IF(F202&gt;0,"BAD ID",IF(C202&gt;=E202,"OK","LATE")))</x:f>
        <x:v>OK</x:v>
      </x:c>
      <x:c r="H202" s="2" t="str">
        <x:f>TRIM(MID(SUBSTITUTE($B202,",",REPT(" ",100)),1,100))</x:f>
      </x:c>
      <x:c r="I202" s="2" t="str">
        <x:f>TRIM(MID(SUBSTITUTE($B202,",",REPT(" ",100)),101,100))</x:f>
      </x:c>
      <x:c r="J202" s="2" t="str">
        <x:f>TRIM(MID(SUBSTITUTE($B202,",",REPT(" ",100)),201,100))</x:f>
      </x:c>
      <x:c r="K202" s="2" t="str">
        <x:f>TRIM(MID(SUBSTITUTE($B202,",",REPT(" ",100)),301,100))</x:f>
      </x:c>
      <x:c r="L202" s="2" t="str">
        <x:f>TRIM(MID(SUBSTITUTE($B202,",",REPT(" ",100)),401,100))</x:f>
      </x:c>
      <x:c r="M202" s="2" t="str">
        <x:f>TRIM(MID(SUBSTITUTE($B202,",",REPT(" ",100)),501,100))</x:f>
      </x:c>
      <x:c r="N202" s="2" t="str">
        <x:f>TRIM(MID(SUBSTITUTE($B202,",",REPT(" ",100)),601,100))</x:f>
      </x:c>
      <x:c r="O202" s="2" t="str">
        <x:f>TRIM(MID(SUBSTITUTE($B202,",",REPT(" ",100)),701,100))</x:f>
      </x:c>
      <x:c r="P202" s="14" t="n">
        <x:f>IF(H202="",0,IF(COUNTIFS('Tasks'!$A$2:$A$224,H202)=1,INDEX('Tasks'!$M$2:$M$224,MATCH(H202,'Tasks'!$A$2:$A$224,0)),"BAD ID"))</x:f>
        <x:v>0</x:v>
      </x:c>
      <x:c r="Q202" s="14" t="n">
        <x:f>IF(I202="",0,IF(COUNTIFS('Tasks'!$A$2:$A$224,I202)=1,INDEX('Tasks'!$M$2:$M$224,MATCH(I202,'Tasks'!$A$2:$A$224,0)),"BAD ID"))</x:f>
        <x:v>0</x:v>
      </x:c>
      <x:c r="R202" s="14" t="n">
        <x:f>IF(J202="",0,IF(COUNTIFS('Tasks'!$A$2:$A$224,J202)=1,INDEX('Tasks'!$M$2:$M$224,MATCH(J202,'Tasks'!$A$2:$A$224,0)),"BAD ID"))</x:f>
        <x:v>0</x:v>
      </x:c>
      <x:c r="S202" s="14" t="n">
        <x:f>IF(K202="",0,IF(COUNTIFS('Tasks'!$A$2:$A$224,K202)=1,INDEX('Tasks'!$M$2:$M$224,MATCH(K202,'Tasks'!$A$2:$A$224,0)),"BAD ID"))</x:f>
        <x:v>0</x:v>
      </x:c>
      <x:c r="T202" s="14" t="n">
        <x:f>IF(L202="",0,IF(COUNTIFS('Tasks'!$A$2:$A$224,L202)=1,INDEX('Tasks'!$M$2:$M$224,MATCH(L202,'Tasks'!$A$2:$A$224,0)),"BAD ID"))</x:f>
        <x:v>0</x:v>
      </x:c>
      <x:c r="U202" s="14" t="n">
        <x:f>IF(M202="",0,IF(COUNTIFS('Tasks'!$A$2:$A$224,M202)=1,INDEX('Tasks'!$M$2:$M$224,MATCH(M202,'Tasks'!$A$2:$A$224,0)),"BAD ID"))</x:f>
        <x:v>0</x:v>
      </x:c>
      <x:c r="V202" s="14" t="n">
        <x:f>IF(N202="",0,IF(COUNTIFS('Tasks'!$A$2:$A$224,N202)=1,INDEX('Tasks'!$M$2:$M$224,MATCH(N202,'Tasks'!$A$2:$A$224,0)),"BAD ID"))</x:f>
        <x:v>0</x:v>
      </x:c>
      <x:c r="W202" s="14" t="n">
        <x:f>IF(O202="",0,IF(COUNTIFS('Tasks'!$A$2:$A$224,O202)=1,INDEX('Tasks'!$M$2:$M$224,MATCH(O202,'Tasks'!$A$2:$A$224,0)),"BAD ID"))</x:f>
        <x:v>0</x:v>
      </x:c>
    </x:row>
    <x:row r="203" ht="28" customHeight="1">
      <x:c r="A203" s="2" t="str">
        <x:v>IND-ZHA-REF</x:v>
      </x:c>
      <x:c r="B203" s="2" t="str">
        <x:f>IF(VLOOKUP(A203,'Tasks'!$A$2:$X$224,15,FALSE)="","",VLOOKUP(A203,'Tasks'!$A$2:$X$224,15,FALSE))</x:f>
      </x:c>
      <x:c r="C203" s="13" t="n">
        <x:f>VLOOKUP(A203,'Tasks'!$A$2:$X$224,12,FALSE)</x:f>
        <x:v>46325</x:v>
      </x:c>
      <x:c r="D203" s="2" t="n">
        <x:f>IF(B203="",0,LEN(B203)-LEN(SUBSTITUTE(B203,",",""))+1)</x:f>
        <x:v>0</x:v>
      </x:c>
      <x:c r="E203" s="14" t="n">
        <x:f>MAX(P203:W203)</x:f>
        <x:v>0</x:v>
      </x:c>
      <x:c r="F203" s="2" t="n">
        <x:f>COUNTIFS(P203:W203,"BAD ID")</x:f>
        <x:v>0</x:v>
      </x:c>
      <x:c r="G203" s="2" t="str">
        <x:f>IF(D203&gt;8,"TOO MANY",IF(F203&gt;0,"BAD ID",IF(C203&gt;=E203,"OK","LATE")))</x:f>
        <x:v>OK</x:v>
      </x:c>
      <x:c r="H203" s="2" t="str">
        <x:f>TRIM(MID(SUBSTITUTE($B203,",",REPT(" ",100)),1,100))</x:f>
      </x:c>
      <x:c r="I203" s="2" t="str">
        <x:f>TRIM(MID(SUBSTITUTE($B203,",",REPT(" ",100)),101,100))</x:f>
      </x:c>
      <x:c r="J203" s="2" t="str">
        <x:f>TRIM(MID(SUBSTITUTE($B203,",",REPT(" ",100)),201,100))</x:f>
      </x:c>
      <x:c r="K203" s="2" t="str">
        <x:f>TRIM(MID(SUBSTITUTE($B203,",",REPT(" ",100)),301,100))</x:f>
      </x:c>
      <x:c r="L203" s="2" t="str">
        <x:f>TRIM(MID(SUBSTITUTE($B203,",",REPT(" ",100)),401,100))</x:f>
      </x:c>
      <x:c r="M203" s="2" t="str">
        <x:f>TRIM(MID(SUBSTITUTE($B203,",",REPT(" ",100)),501,100))</x:f>
      </x:c>
      <x:c r="N203" s="2" t="str">
        <x:f>TRIM(MID(SUBSTITUTE($B203,",",REPT(" ",100)),601,100))</x:f>
      </x:c>
      <x:c r="O203" s="2" t="str">
        <x:f>TRIM(MID(SUBSTITUTE($B203,",",REPT(" ",100)),701,100))</x:f>
      </x:c>
      <x:c r="P203" s="14" t="n">
        <x:f>IF(H203="",0,IF(COUNTIFS('Tasks'!$A$2:$A$224,H203)=1,INDEX('Tasks'!$M$2:$M$224,MATCH(H203,'Tasks'!$A$2:$A$224,0)),"BAD ID"))</x:f>
        <x:v>0</x:v>
      </x:c>
      <x:c r="Q203" s="14" t="n">
        <x:f>IF(I203="",0,IF(COUNTIFS('Tasks'!$A$2:$A$224,I203)=1,INDEX('Tasks'!$M$2:$M$224,MATCH(I203,'Tasks'!$A$2:$A$224,0)),"BAD ID"))</x:f>
        <x:v>0</x:v>
      </x:c>
      <x:c r="R203" s="14" t="n">
        <x:f>IF(J203="",0,IF(COUNTIFS('Tasks'!$A$2:$A$224,J203)=1,INDEX('Tasks'!$M$2:$M$224,MATCH(J203,'Tasks'!$A$2:$A$224,0)),"BAD ID"))</x:f>
        <x:v>0</x:v>
      </x:c>
      <x:c r="S203" s="14" t="n">
        <x:f>IF(K203="",0,IF(COUNTIFS('Tasks'!$A$2:$A$224,K203)=1,INDEX('Tasks'!$M$2:$M$224,MATCH(K203,'Tasks'!$A$2:$A$224,0)),"BAD ID"))</x:f>
        <x:v>0</x:v>
      </x:c>
      <x:c r="T203" s="14" t="n">
        <x:f>IF(L203="",0,IF(COUNTIFS('Tasks'!$A$2:$A$224,L203)=1,INDEX('Tasks'!$M$2:$M$224,MATCH(L203,'Tasks'!$A$2:$A$224,0)),"BAD ID"))</x:f>
        <x:v>0</x:v>
      </x:c>
      <x:c r="U203" s="14" t="n">
        <x:f>IF(M203="",0,IF(COUNTIFS('Tasks'!$A$2:$A$224,M203)=1,INDEX('Tasks'!$M$2:$M$224,MATCH(M203,'Tasks'!$A$2:$A$224,0)),"BAD ID"))</x:f>
        <x:v>0</x:v>
      </x:c>
      <x:c r="V203" s="14" t="n">
        <x:f>IF(N203="",0,IF(COUNTIFS('Tasks'!$A$2:$A$224,N203)=1,INDEX('Tasks'!$M$2:$M$224,MATCH(N203,'Tasks'!$A$2:$A$224,0)),"BAD ID"))</x:f>
        <x:v>0</x:v>
      </x:c>
      <x:c r="W203" s="14" t="n">
        <x:f>IF(O203="",0,IF(COUNTIFS('Tasks'!$A$2:$A$224,O203)=1,INDEX('Tasks'!$M$2:$M$224,MATCH(O203,'Tasks'!$A$2:$A$224,0)),"BAD ID"))</x:f>
        <x:v>0</x:v>
      </x:c>
    </x:row>
    <x:row r="204" ht="28" customHeight="1">
      <x:c r="A204" s="2" t="str">
        <x:v>IND-ZHA-PEER</x:v>
      </x:c>
      <x:c r="B204" s="2" t="str">
        <x:f>IF(VLOOKUP(A204,'Tasks'!$A$2:$X$224,15,FALSE)="","",VLOOKUP(A204,'Tasks'!$A$2:$X$224,15,FALSE))</x:f>
      </x:c>
      <x:c r="C204" s="13" t="n">
        <x:f>VLOOKUP(A204,'Tasks'!$A$2:$X$224,12,FALSE)</x:f>
        <x:v>46326</x:v>
      </x:c>
      <x:c r="D204" s="2" t="n">
        <x:f>IF(B204="",0,LEN(B204)-LEN(SUBSTITUTE(B204,",",""))+1)</x:f>
        <x:v>0</x:v>
      </x:c>
      <x:c r="E204" s="14" t="n">
        <x:f>MAX(P204:W204)</x:f>
        <x:v>0</x:v>
      </x:c>
      <x:c r="F204" s="2" t="n">
        <x:f>COUNTIFS(P204:W204,"BAD ID")</x:f>
        <x:v>0</x:v>
      </x:c>
      <x:c r="G204" s="2" t="str">
        <x:f>IF(D204&gt;8,"TOO MANY",IF(F204&gt;0,"BAD ID",IF(C204&gt;=E204,"OK","LATE")))</x:f>
        <x:v>OK</x:v>
      </x:c>
      <x:c r="H204" s="2" t="str">
        <x:f>TRIM(MID(SUBSTITUTE($B204,",",REPT(" ",100)),1,100))</x:f>
      </x:c>
      <x:c r="I204" s="2" t="str">
        <x:f>TRIM(MID(SUBSTITUTE($B204,",",REPT(" ",100)),101,100))</x:f>
      </x:c>
      <x:c r="J204" s="2" t="str">
        <x:f>TRIM(MID(SUBSTITUTE($B204,",",REPT(" ",100)),201,100))</x:f>
      </x:c>
      <x:c r="K204" s="2" t="str">
        <x:f>TRIM(MID(SUBSTITUTE($B204,",",REPT(" ",100)),301,100))</x:f>
      </x:c>
      <x:c r="L204" s="2" t="str">
        <x:f>TRIM(MID(SUBSTITUTE($B204,",",REPT(" ",100)),401,100))</x:f>
      </x:c>
      <x:c r="M204" s="2" t="str">
        <x:f>TRIM(MID(SUBSTITUTE($B204,",",REPT(" ",100)),501,100))</x:f>
      </x:c>
      <x:c r="N204" s="2" t="str">
        <x:f>TRIM(MID(SUBSTITUTE($B204,",",REPT(" ",100)),601,100))</x:f>
      </x:c>
      <x:c r="O204" s="2" t="str">
        <x:f>TRIM(MID(SUBSTITUTE($B204,",",REPT(" ",100)),701,100))</x:f>
      </x:c>
      <x:c r="P204" s="14" t="n">
        <x:f>IF(H204="",0,IF(COUNTIFS('Tasks'!$A$2:$A$224,H204)=1,INDEX('Tasks'!$M$2:$M$224,MATCH(H204,'Tasks'!$A$2:$A$224,0)),"BAD ID"))</x:f>
        <x:v>0</x:v>
      </x:c>
      <x:c r="Q204" s="14" t="n">
        <x:f>IF(I204="",0,IF(COUNTIFS('Tasks'!$A$2:$A$224,I204)=1,INDEX('Tasks'!$M$2:$M$224,MATCH(I204,'Tasks'!$A$2:$A$224,0)),"BAD ID"))</x:f>
        <x:v>0</x:v>
      </x:c>
      <x:c r="R204" s="14" t="n">
        <x:f>IF(J204="",0,IF(COUNTIFS('Tasks'!$A$2:$A$224,J204)=1,INDEX('Tasks'!$M$2:$M$224,MATCH(J204,'Tasks'!$A$2:$A$224,0)),"BAD ID"))</x:f>
        <x:v>0</x:v>
      </x:c>
      <x:c r="S204" s="14" t="n">
        <x:f>IF(K204="",0,IF(COUNTIFS('Tasks'!$A$2:$A$224,K204)=1,INDEX('Tasks'!$M$2:$M$224,MATCH(K204,'Tasks'!$A$2:$A$224,0)),"BAD ID"))</x:f>
        <x:v>0</x:v>
      </x:c>
      <x:c r="T204" s="14" t="n">
        <x:f>IF(L204="",0,IF(COUNTIFS('Tasks'!$A$2:$A$224,L204)=1,INDEX('Tasks'!$M$2:$M$224,MATCH(L204,'Tasks'!$A$2:$A$224,0)),"BAD ID"))</x:f>
        <x:v>0</x:v>
      </x:c>
      <x:c r="U204" s="14" t="n">
        <x:f>IF(M204="",0,IF(COUNTIFS('Tasks'!$A$2:$A$224,M204)=1,INDEX('Tasks'!$M$2:$M$224,MATCH(M204,'Tasks'!$A$2:$A$224,0)),"BAD ID"))</x:f>
        <x:v>0</x:v>
      </x:c>
      <x:c r="V204" s="14" t="n">
        <x:f>IF(N204="",0,IF(COUNTIFS('Tasks'!$A$2:$A$224,N204)=1,INDEX('Tasks'!$M$2:$M$224,MATCH(N204,'Tasks'!$A$2:$A$224,0)),"BAD ID"))</x:f>
        <x:v>0</x:v>
      </x:c>
      <x:c r="W204" s="14" t="n">
        <x:f>IF(O204="",0,IF(COUNTIFS('Tasks'!$A$2:$A$224,O204)=1,INDEX('Tasks'!$M$2:$M$224,MATCH(O204,'Tasks'!$A$2:$A$224,0)),"BAD ID"))</x:f>
        <x:v>0</x:v>
      </x:c>
    </x:row>
    <x:row r="205" ht="28" customHeight="1">
      <x:c r="A205" s="2" t="str">
        <x:v>IND-ZHA-SPARK</x:v>
      </x:c>
      <x:c r="B205" s="2" t="str">
        <x:f>IF(VLOOKUP(A205,'Tasks'!$A$2:$X$224,15,FALSE)="","",VLOOKUP(A205,'Tasks'!$A$2:$X$224,15,FALSE))</x:f>
      </x:c>
      <x:c r="C205" s="13" t="n">
        <x:f>VLOOKUP(A205,'Tasks'!$A$2:$X$224,12,FALSE)</x:f>
        <x:v>46326</x:v>
      </x:c>
      <x:c r="D205" s="2" t="n">
        <x:f>IF(B205="",0,LEN(B205)-LEN(SUBSTITUTE(B205,",",""))+1)</x:f>
        <x:v>0</x:v>
      </x:c>
      <x:c r="E205" s="14" t="n">
        <x:f>MAX(P205:W205)</x:f>
        <x:v>0</x:v>
      </x:c>
      <x:c r="F205" s="2" t="n">
        <x:f>COUNTIFS(P205:W205,"BAD ID")</x:f>
        <x:v>0</x:v>
      </x:c>
      <x:c r="G205" s="2" t="str">
        <x:f>IF(D205&gt;8,"TOO MANY",IF(F205&gt;0,"BAD ID",IF(C205&gt;=E205,"OK","LATE")))</x:f>
        <x:v>OK</x:v>
      </x:c>
      <x:c r="H205" s="2" t="str">
        <x:f>TRIM(MID(SUBSTITUTE($B205,",",REPT(" ",100)),1,100))</x:f>
      </x:c>
      <x:c r="I205" s="2" t="str">
        <x:f>TRIM(MID(SUBSTITUTE($B205,",",REPT(" ",100)),101,100))</x:f>
      </x:c>
      <x:c r="J205" s="2" t="str">
        <x:f>TRIM(MID(SUBSTITUTE($B205,",",REPT(" ",100)),201,100))</x:f>
      </x:c>
      <x:c r="K205" s="2" t="str">
        <x:f>TRIM(MID(SUBSTITUTE($B205,",",REPT(" ",100)),301,100))</x:f>
      </x:c>
      <x:c r="L205" s="2" t="str">
        <x:f>TRIM(MID(SUBSTITUTE($B205,",",REPT(" ",100)),401,100))</x:f>
      </x:c>
      <x:c r="M205" s="2" t="str">
        <x:f>TRIM(MID(SUBSTITUTE($B205,",",REPT(" ",100)),501,100))</x:f>
      </x:c>
      <x:c r="N205" s="2" t="str">
        <x:f>TRIM(MID(SUBSTITUTE($B205,",",REPT(" ",100)),601,100))</x:f>
      </x:c>
      <x:c r="O205" s="2" t="str">
        <x:f>TRIM(MID(SUBSTITUTE($B205,",",REPT(" ",100)),701,100))</x:f>
      </x:c>
      <x:c r="P205" s="14" t="n">
        <x:f>IF(H205="",0,IF(COUNTIFS('Tasks'!$A$2:$A$224,H205)=1,INDEX('Tasks'!$M$2:$M$224,MATCH(H205,'Tasks'!$A$2:$A$224,0)),"BAD ID"))</x:f>
        <x:v>0</x:v>
      </x:c>
      <x:c r="Q205" s="14" t="n">
        <x:f>IF(I205="",0,IF(COUNTIFS('Tasks'!$A$2:$A$224,I205)=1,INDEX('Tasks'!$M$2:$M$224,MATCH(I205,'Tasks'!$A$2:$A$224,0)),"BAD ID"))</x:f>
        <x:v>0</x:v>
      </x:c>
      <x:c r="R205" s="14" t="n">
        <x:f>IF(J205="",0,IF(COUNTIFS('Tasks'!$A$2:$A$224,J205)=1,INDEX('Tasks'!$M$2:$M$224,MATCH(J205,'Tasks'!$A$2:$A$224,0)),"BAD ID"))</x:f>
        <x:v>0</x:v>
      </x:c>
      <x:c r="S205" s="14" t="n">
        <x:f>IF(K205="",0,IF(COUNTIFS('Tasks'!$A$2:$A$224,K205)=1,INDEX('Tasks'!$M$2:$M$224,MATCH(K205,'Tasks'!$A$2:$A$224,0)),"BAD ID"))</x:f>
        <x:v>0</x:v>
      </x:c>
      <x:c r="T205" s="14" t="n">
        <x:f>IF(L205="",0,IF(COUNTIFS('Tasks'!$A$2:$A$224,L205)=1,INDEX('Tasks'!$M$2:$M$224,MATCH(L205,'Tasks'!$A$2:$A$224,0)),"BAD ID"))</x:f>
        <x:v>0</x:v>
      </x:c>
      <x:c r="U205" s="14" t="n">
        <x:f>IF(M205="",0,IF(COUNTIFS('Tasks'!$A$2:$A$224,M205)=1,INDEX('Tasks'!$M$2:$M$224,MATCH(M205,'Tasks'!$A$2:$A$224,0)),"BAD ID"))</x:f>
        <x:v>0</x:v>
      </x:c>
      <x:c r="V205" s="14" t="n">
        <x:f>IF(N205="",0,IF(COUNTIFS('Tasks'!$A$2:$A$224,N205)=1,INDEX('Tasks'!$M$2:$M$224,MATCH(N205,'Tasks'!$A$2:$A$224,0)),"BAD ID"))</x:f>
        <x:v>0</x:v>
      </x:c>
      <x:c r="W205" s="14" t="n">
        <x:f>IF(O205="",0,IF(COUNTIFS('Tasks'!$A$2:$A$224,O205)=1,INDEX('Tasks'!$M$2:$M$224,MATCH(O205,'Tasks'!$A$2:$A$224,0)),"BAD ID"))</x:f>
        <x:v>0</x:v>
      </x:c>
    </x:row>
    <x:row r="206" ht="28" customHeight="1">
      <x:c r="A206" s="2" t="str">
        <x:v>DEMO-ZHA-R1</x:v>
      </x:c>
      <x:c r="B206" s="2" t="str">
        <x:f>IF(VLOOKUP(A206,'Tasks'!$A$2:$X$224,15,FALSE)="","",VLOOKUP(A206,'Tasks'!$A$2:$X$224,15,FALSE))</x:f>
        <x:v>DEMO-02</x:v>
      </x:c>
      <x:c r="C206" s="13" t="n">
        <x:f>VLOOKUP(A206,'Tasks'!$A$2:$X$224,12,FALSE)</x:f>
        <x:v>46325</x:v>
      </x:c>
      <x:c r="D206" s="2" t="n">
        <x:f>IF(B206="",0,LEN(B206)-LEN(SUBSTITUTE(B206,",",""))+1)</x:f>
        <x:v>1</x:v>
      </x:c>
      <x:c r="E206" s="14" t="n">
        <x:f>MAX(P206:W206)</x:f>
        <x:v>46324</x:v>
      </x:c>
      <x:c r="F206" s="2" t="n">
        <x:f>COUNTIFS(P206:W206,"BAD ID")</x:f>
        <x:v>0</x:v>
      </x:c>
      <x:c r="G206" s="2" t="str">
        <x:f>IF(D206&gt;8,"TOO MANY",IF(F206&gt;0,"BAD ID",IF(C206&gt;=E206,"OK","LATE")))</x:f>
        <x:v>OK</x:v>
      </x:c>
      <x:c r="H206" s="2" t="str">
        <x:f>TRIM(MID(SUBSTITUTE($B206,",",REPT(" ",100)),1,100))</x:f>
        <x:v>DEMO-02</x:v>
      </x:c>
      <x:c r="I206" s="2" t="str">
        <x:f>TRIM(MID(SUBSTITUTE($B206,",",REPT(" ",100)),101,100))</x:f>
      </x:c>
      <x:c r="J206" s="2" t="str">
        <x:f>TRIM(MID(SUBSTITUTE($B206,",",REPT(" ",100)),201,100))</x:f>
      </x:c>
      <x:c r="K206" s="2" t="str">
        <x:f>TRIM(MID(SUBSTITUTE($B206,",",REPT(" ",100)),301,100))</x:f>
      </x:c>
      <x:c r="L206" s="2" t="str">
        <x:f>TRIM(MID(SUBSTITUTE($B206,",",REPT(" ",100)),401,100))</x:f>
      </x:c>
      <x:c r="M206" s="2" t="str">
        <x:f>TRIM(MID(SUBSTITUTE($B206,",",REPT(" ",100)),501,100))</x:f>
      </x:c>
      <x:c r="N206" s="2" t="str">
        <x:f>TRIM(MID(SUBSTITUTE($B206,",",REPT(" ",100)),601,100))</x:f>
      </x:c>
      <x:c r="O206" s="2" t="str">
        <x:f>TRIM(MID(SUBSTITUTE($B206,",",REPT(" ",100)),701,100))</x:f>
      </x:c>
      <x:c r="P206" s="14" t="n">
        <x:f>IF(H206="",0,IF(COUNTIFS('Tasks'!$A$2:$A$224,H206)=1,INDEX('Tasks'!$M$2:$M$224,MATCH(H206,'Tasks'!$A$2:$A$224,0)),"BAD ID"))</x:f>
        <x:v>46324</x:v>
      </x:c>
      <x:c r="Q206" s="14" t="n">
        <x:f>IF(I206="",0,IF(COUNTIFS('Tasks'!$A$2:$A$224,I206)=1,INDEX('Tasks'!$M$2:$M$224,MATCH(I206,'Tasks'!$A$2:$A$224,0)),"BAD ID"))</x:f>
        <x:v>0</x:v>
      </x:c>
      <x:c r="R206" s="14" t="n">
        <x:f>IF(J206="",0,IF(COUNTIFS('Tasks'!$A$2:$A$224,J206)=1,INDEX('Tasks'!$M$2:$M$224,MATCH(J206,'Tasks'!$A$2:$A$224,0)),"BAD ID"))</x:f>
        <x:v>0</x:v>
      </x:c>
      <x:c r="S206" s="14" t="n">
        <x:f>IF(K206="",0,IF(COUNTIFS('Tasks'!$A$2:$A$224,K206)=1,INDEX('Tasks'!$M$2:$M$224,MATCH(K206,'Tasks'!$A$2:$A$224,0)),"BAD ID"))</x:f>
        <x:v>0</x:v>
      </x:c>
      <x:c r="T206" s="14" t="n">
        <x:f>IF(L206="",0,IF(COUNTIFS('Tasks'!$A$2:$A$224,L206)=1,INDEX('Tasks'!$M$2:$M$224,MATCH(L206,'Tasks'!$A$2:$A$224,0)),"BAD ID"))</x:f>
        <x:v>0</x:v>
      </x:c>
      <x:c r="U206" s="14" t="n">
        <x:f>IF(M206="",0,IF(COUNTIFS('Tasks'!$A$2:$A$224,M206)=1,INDEX('Tasks'!$M$2:$M$224,MATCH(M206,'Tasks'!$A$2:$A$224,0)),"BAD ID"))</x:f>
        <x:v>0</x:v>
      </x:c>
      <x:c r="V206" s="14" t="n">
        <x:f>IF(N206="",0,IF(COUNTIFS('Tasks'!$A$2:$A$224,N206)=1,INDEX('Tasks'!$M$2:$M$224,MATCH(N206,'Tasks'!$A$2:$A$224,0)),"BAD ID"))</x:f>
        <x:v>0</x:v>
      </x:c>
      <x:c r="W206" s="14" t="n">
        <x:f>IF(O206="",0,IF(COUNTIFS('Tasks'!$A$2:$A$224,O206)=1,INDEX('Tasks'!$M$2:$M$224,MATCH(O206,'Tasks'!$A$2:$A$224,0)),"BAD ID"))</x:f>
        <x:v>0</x:v>
      </x:c>
    </x:row>
    <x:row r="207" ht="28" customHeight="1">
      <x:c r="A207" s="2" t="str">
        <x:v>REV-SAV-1</x:v>
      </x:c>
      <x:c r="B207" s="2" t="str">
        <x:f>IF(VLOOKUP(A207,'Tasks'!$A$2:$X$224,15,FALSE)="","",VLOOKUP(A207,'Tasks'!$A$2:$X$224,15,FALSE))</x:f>
        <x:v>PROC-01</x:v>
      </x:c>
      <x:c r="C207" s="13" t="n">
        <x:f>VLOOKUP(A207,'Tasks'!$A$2:$X$224,12,FALSE)</x:f>
        <x:v>46307</x:v>
      </x:c>
      <x:c r="D207" s="2" t="n">
        <x:f>IF(B207="",0,LEN(B207)-LEN(SUBSTITUTE(B207,",",""))+1)</x:f>
        <x:v>1</x:v>
      </x:c>
      <x:c r="E207" s="14" t="n">
        <x:f>MAX(P207:W207)</x:f>
        <x:v>46307</x:v>
      </x:c>
      <x:c r="F207" s="2" t="n">
        <x:f>COUNTIFS(P207:W207,"BAD ID")</x:f>
        <x:v>0</x:v>
      </x:c>
      <x:c r="G207" s="2" t="str">
        <x:f>IF(D207&gt;8,"TOO MANY",IF(F207&gt;0,"BAD ID",IF(C207&gt;=E207,"OK","LATE")))</x:f>
        <x:v>OK</x:v>
      </x:c>
      <x:c r="H207" s="2" t="str">
        <x:f>TRIM(MID(SUBSTITUTE($B207,",",REPT(" ",100)),1,100))</x:f>
        <x:v>PROC-01</x:v>
      </x:c>
      <x:c r="I207" s="2" t="str">
        <x:f>TRIM(MID(SUBSTITUTE($B207,",",REPT(" ",100)),101,100))</x:f>
      </x:c>
      <x:c r="J207" s="2" t="str">
        <x:f>TRIM(MID(SUBSTITUTE($B207,",",REPT(" ",100)),201,100))</x:f>
      </x:c>
      <x:c r="K207" s="2" t="str">
        <x:f>TRIM(MID(SUBSTITUTE($B207,",",REPT(" ",100)),301,100))</x:f>
      </x:c>
      <x:c r="L207" s="2" t="str">
        <x:f>TRIM(MID(SUBSTITUTE($B207,",",REPT(" ",100)),401,100))</x:f>
      </x:c>
      <x:c r="M207" s="2" t="str">
        <x:f>TRIM(MID(SUBSTITUTE($B207,",",REPT(" ",100)),501,100))</x:f>
      </x:c>
      <x:c r="N207" s="2" t="str">
        <x:f>TRIM(MID(SUBSTITUTE($B207,",",REPT(" ",100)),601,100))</x:f>
      </x:c>
      <x:c r="O207" s="2" t="str">
        <x:f>TRIM(MID(SUBSTITUTE($B207,",",REPT(" ",100)),701,100))</x:f>
      </x:c>
      <x:c r="P207" s="14" t="n">
        <x:f>IF(H207="",0,IF(COUNTIFS('Tasks'!$A$2:$A$224,H207)=1,INDEX('Tasks'!$M$2:$M$224,MATCH(H207,'Tasks'!$A$2:$A$224,0)),"BAD ID"))</x:f>
        <x:v>46307</x:v>
      </x:c>
      <x:c r="Q207" s="14" t="n">
        <x:f>IF(I207="",0,IF(COUNTIFS('Tasks'!$A$2:$A$224,I207)=1,INDEX('Tasks'!$M$2:$M$224,MATCH(I207,'Tasks'!$A$2:$A$224,0)),"BAD ID"))</x:f>
        <x:v>0</x:v>
      </x:c>
      <x:c r="R207" s="14" t="n">
        <x:f>IF(J207="",0,IF(COUNTIFS('Tasks'!$A$2:$A$224,J207)=1,INDEX('Tasks'!$M$2:$M$224,MATCH(J207,'Tasks'!$A$2:$A$224,0)),"BAD ID"))</x:f>
        <x:v>0</x:v>
      </x:c>
      <x:c r="S207" s="14" t="n">
        <x:f>IF(K207="",0,IF(COUNTIFS('Tasks'!$A$2:$A$224,K207)=1,INDEX('Tasks'!$M$2:$M$224,MATCH(K207,'Tasks'!$A$2:$A$224,0)),"BAD ID"))</x:f>
        <x:v>0</x:v>
      </x:c>
      <x:c r="T207" s="14" t="n">
        <x:f>IF(L207="",0,IF(COUNTIFS('Tasks'!$A$2:$A$224,L207)=1,INDEX('Tasks'!$M$2:$M$224,MATCH(L207,'Tasks'!$A$2:$A$224,0)),"BAD ID"))</x:f>
        <x:v>0</x:v>
      </x:c>
      <x:c r="U207" s="14" t="n">
        <x:f>IF(M207="",0,IF(COUNTIFS('Tasks'!$A$2:$A$224,M207)=1,INDEX('Tasks'!$M$2:$M$224,MATCH(M207,'Tasks'!$A$2:$A$224,0)),"BAD ID"))</x:f>
        <x:v>0</x:v>
      </x:c>
      <x:c r="V207" s="14" t="n">
        <x:f>IF(N207="",0,IF(COUNTIFS('Tasks'!$A$2:$A$224,N207)=1,INDEX('Tasks'!$M$2:$M$224,MATCH(N207,'Tasks'!$A$2:$A$224,0)),"BAD ID"))</x:f>
        <x:v>0</x:v>
      </x:c>
      <x:c r="W207" s="14" t="n">
        <x:f>IF(O207="",0,IF(COUNTIFS('Tasks'!$A$2:$A$224,O207)=1,INDEX('Tasks'!$M$2:$M$224,MATCH(O207,'Tasks'!$A$2:$A$224,0)),"BAD ID"))</x:f>
        <x:v>0</x:v>
      </x:c>
    </x:row>
    <x:row r="208" ht="28" customHeight="1">
      <x:c r="A208" s="2" t="str">
        <x:v>COM-SAV-1</x:v>
      </x:c>
      <x:c r="B208" s="2" t="str">
        <x:f>IF(VLOOKUP(A208,'Tasks'!$A$2:$X$224,15,FALSE)="","",VLOOKUP(A208,'Tasks'!$A$2:$X$224,15,FALSE))</x:f>
      </x:c>
      <x:c r="C208" s="13" t="n">
        <x:f>VLOOKUP(A208,'Tasks'!$A$2:$X$224,12,FALSE)</x:f>
        <x:v>46307</x:v>
      </x:c>
      <x:c r="D208" s="2" t="n">
        <x:f>IF(B208="",0,LEN(B208)-LEN(SUBSTITUTE(B208,",",""))+1)</x:f>
        <x:v>0</x:v>
      </x:c>
      <x:c r="E208" s="14" t="n">
        <x:f>MAX(P208:W208)</x:f>
        <x:v>0</x:v>
      </x:c>
      <x:c r="F208" s="2" t="n">
        <x:f>COUNTIFS(P208:W208,"BAD ID")</x:f>
        <x:v>0</x:v>
      </x:c>
      <x:c r="G208" s="2" t="str">
        <x:f>IF(D208&gt;8,"TOO MANY",IF(F208&gt;0,"BAD ID",IF(C208&gt;=E208,"OK","LATE")))</x:f>
        <x:v>OK</x:v>
      </x:c>
      <x:c r="H208" s="2" t="str">
        <x:f>TRIM(MID(SUBSTITUTE($B208,",",REPT(" ",100)),1,100))</x:f>
      </x:c>
      <x:c r="I208" s="2" t="str">
        <x:f>TRIM(MID(SUBSTITUTE($B208,",",REPT(" ",100)),101,100))</x:f>
      </x:c>
      <x:c r="J208" s="2" t="str">
        <x:f>TRIM(MID(SUBSTITUTE($B208,",",REPT(" ",100)),201,100))</x:f>
      </x:c>
      <x:c r="K208" s="2" t="str">
        <x:f>TRIM(MID(SUBSTITUTE($B208,",",REPT(" ",100)),301,100))</x:f>
      </x:c>
      <x:c r="L208" s="2" t="str">
        <x:f>TRIM(MID(SUBSTITUTE($B208,",",REPT(" ",100)),401,100))</x:f>
      </x:c>
      <x:c r="M208" s="2" t="str">
        <x:f>TRIM(MID(SUBSTITUTE($B208,",",REPT(" ",100)),501,100))</x:f>
      </x:c>
      <x:c r="N208" s="2" t="str">
        <x:f>TRIM(MID(SUBSTITUTE($B208,",",REPT(" ",100)),601,100))</x:f>
      </x:c>
      <x:c r="O208" s="2" t="str">
        <x:f>TRIM(MID(SUBSTITUTE($B208,",",REPT(" ",100)),701,100))</x:f>
      </x:c>
      <x:c r="P208" s="14" t="n">
        <x:f>IF(H208="",0,IF(COUNTIFS('Tasks'!$A$2:$A$224,H208)=1,INDEX('Tasks'!$M$2:$M$224,MATCH(H208,'Tasks'!$A$2:$A$224,0)),"BAD ID"))</x:f>
        <x:v>0</x:v>
      </x:c>
      <x:c r="Q208" s="14" t="n">
        <x:f>IF(I208="",0,IF(COUNTIFS('Tasks'!$A$2:$A$224,I208)=1,INDEX('Tasks'!$M$2:$M$224,MATCH(I208,'Tasks'!$A$2:$A$224,0)),"BAD ID"))</x:f>
        <x:v>0</x:v>
      </x:c>
      <x:c r="R208" s="14" t="n">
        <x:f>IF(J208="",0,IF(COUNTIFS('Tasks'!$A$2:$A$224,J208)=1,INDEX('Tasks'!$M$2:$M$224,MATCH(J208,'Tasks'!$A$2:$A$224,0)),"BAD ID"))</x:f>
        <x:v>0</x:v>
      </x:c>
      <x:c r="S208" s="14" t="n">
        <x:f>IF(K208="",0,IF(COUNTIFS('Tasks'!$A$2:$A$224,K208)=1,INDEX('Tasks'!$M$2:$M$224,MATCH(K208,'Tasks'!$A$2:$A$224,0)),"BAD ID"))</x:f>
        <x:v>0</x:v>
      </x:c>
      <x:c r="T208" s="14" t="n">
        <x:f>IF(L208="",0,IF(COUNTIFS('Tasks'!$A$2:$A$224,L208)=1,INDEX('Tasks'!$M$2:$M$224,MATCH(L208,'Tasks'!$A$2:$A$224,0)),"BAD ID"))</x:f>
        <x:v>0</x:v>
      </x:c>
      <x:c r="U208" s="14" t="n">
        <x:f>IF(M208="",0,IF(COUNTIFS('Tasks'!$A$2:$A$224,M208)=1,INDEX('Tasks'!$M$2:$M$224,MATCH(M208,'Tasks'!$A$2:$A$224,0)),"BAD ID"))</x:f>
        <x:v>0</x:v>
      </x:c>
      <x:c r="V208" s="14" t="n">
        <x:f>IF(N208="",0,IF(COUNTIFS('Tasks'!$A$2:$A$224,N208)=1,INDEX('Tasks'!$M$2:$M$224,MATCH(N208,'Tasks'!$A$2:$A$224,0)),"BAD ID"))</x:f>
        <x:v>0</x:v>
      </x:c>
      <x:c r="W208" s="14" t="n">
        <x:f>IF(O208="",0,IF(COUNTIFS('Tasks'!$A$2:$A$224,O208)=1,INDEX('Tasks'!$M$2:$M$224,MATCH(O208,'Tasks'!$A$2:$A$224,0)),"BAD ID"))</x:f>
        <x:v>0</x:v>
      </x:c>
    </x:row>
    <x:row r="209" ht="28" customHeight="1">
      <x:c r="A209" s="2" t="str">
        <x:v>IND-SAV-AI1</x:v>
      </x:c>
      <x:c r="B209" s="2" t="str">
        <x:f>IF(VLOOKUP(A209,'Tasks'!$A$2:$X$224,15,FALSE)="","",VLOOKUP(A209,'Tasks'!$A$2:$X$224,15,FALSE))</x:f>
      </x:c>
      <x:c r="C209" s="13" t="n">
        <x:f>VLOOKUP(A209,'Tasks'!$A$2:$X$224,12,FALSE)</x:f>
        <x:v>46313</x:v>
      </x:c>
      <x:c r="D209" s="2" t="n">
        <x:f>IF(B209="",0,LEN(B209)-LEN(SUBSTITUTE(B209,",",""))+1)</x:f>
        <x:v>0</x:v>
      </x:c>
      <x:c r="E209" s="14" t="n">
        <x:f>MAX(P209:W209)</x:f>
        <x:v>0</x:v>
      </x:c>
      <x:c r="F209" s="2" t="n">
        <x:f>COUNTIFS(P209:W209,"BAD ID")</x:f>
        <x:v>0</x:v>
      </x:c>
      <x:c r="G209" s="2" t="str">
        <x:f>IF(D209&gt;8,"TOO MANY",IF(F209&gt;0,"BAD ID",IF(C209&gt;=E209,"OK","LATE")))</x:f>
        <x:v>OK</x:v>
      </x:c>
      <x:c r="H209" s="2" t="str">
        <x:f>TRIM(MID(SUBSTITUTE($B209,",",REPT(" ",100)),1,100))</x:f>
      </x:c>
      <x:c r="I209" s="2" t="str">
        <x:f>TRIM(MID(SUBSTITUTE($B209,",",REPT(" ",100)),101,100))</x:f>
      </x:c>
      <x:c r="J209" s="2" t="str">
        <x:f>TRIM(MID(SUBSTITUTE($B209,",",REPT(" ",100)),201,100))</x:f>
      </x:c>
      <x:c r="K209" s="2" t="str">
        <x:f>TRIM(MID(SUBSTITUTE($B209,",",REPT(" ",100)),301,100))</x:f>
      </x:c>
      <x:c r="L209" s="2" t="str">
        <x:f>TRIM(MID(SUBSTITUTE($B209,",",REPT(" ",100)),401,100))</x:f>
      </x:c>
      <x:c r="M209" s="2" t="str">
        <x:f>TRIM(MID(SUBSTITUTE($B209,",",REPT(" ",100)),501,100))</x:f>
      </x:c>
      <x:c r="N209" s="2" t="str">
        <x:f>TRIM(MID(SUBSTITUTE($B209,",",REPT(" ",100)),601,100))</x:f>
      </x:c>
      <x:c r="O209" s="2" t="str">
        <x:f>TRIM(MID(SUBSTITUTE($B209,",",REPT(" ",100)),701,100))</x:f>
      </x:c>
      <x:c r="P209" s="14" t="n">
        <x:f>IF(H209="",0,IF(COUNTIFS('Tasks'!$A$2:$A$224,H209)=1,INDEX('Tasks'!$M$2:$M$224,MATCH(H209,'Tasks'!$A$2:$A$224,0)),"BAD ID"))</x:f>
        <x:v>0</x:v>
      </x:c>
      <x:c r="Q209" s="14" t="n">
        <x:f>IF(I209="",0,IF(COUNTIFS('Tasks'!$A$2:$A$224,I209)=1,INDEX('Tasks'!$M$2:$M$224,MATCH(I209,'Tasks'!$A$2:$A$224,0)),"BAD ID"))</x:f>
        <x:v>0</x:v>
      </x:c>
      <x:c r="R209" s="14" t="n">
        <x:f>IF(J209="",0,IF(COUNTIFS('Tasks'!$A$2:$A$224,J209)=1,INDEX('Tasks'!$M$2:$M$224,MATCH(J209,'Tasks'!$A$2:$A$224,0)),"BAD ID"))</x:f>
        <x:v>0</x:v>
      </x:c>
      <x:c r="S209" s="14" t="n">
        <x:f>IF(K209="",0,IF(COUNTIFS('Tasks'!$A$2:$A$224,K209)=1,INDEX('Tasks'!$M$2:$M$224,MATCH(K209,'Tasks'!$A$2:$A$224,0)),"BAD ID"))</x:f>
        <x:v>0</x:v>
      </x:c>
      <x:c r="T209" s="14" t="n">
        <x:f>IF(L209="",0,IF(COUNTIFS('Tasks'!$A$2:$A$224,L209)=1,INDEX('Tasks'!$M$2:$M$224,MATCH(L209,'Tasks'!$A$2:$A$224,0)),"BAD ID"))</x:f>
        <x:v>0</x:v>
      </x:c>
      <x:c r="U209" s="14" t="n">
        <x:f>IF(M209="",0,IF(COUNTIFS('Tasks'!$A$2:$A$224,M209)=1,INDEX('Tasks'!$M$2:$M$224,MATCH(M209,'Tasks'!$A$2:$A$224,0)),"BAD ID"))</x:f>
        <x:v>0</x:v>
      </x:c>
      <x:c r="V209" s="14" t="n">
        <x:f>IF(N209="",0,IF(COUNTIFS('Tasks'!$A$2:$A$224,N209)=1,INDEX('Tasks'!$M$2:$M$224,MATCH(N209,'Tasks'!$A$2:$A$224,0)),"BAD ID"))</x:f>
        <x:v>0</x:v>
      </x:c>
      <x:c r="W209" s="14" t="n">
        <x:f>IF(O209="",0,IF(COUNTIFS('Tasks'!$A$2:$A$224,O209)=1,INDEX('Tasks'!$M$2:$M$224,MATCH(O209,'Tasks'!$A$2:$A$224,0)),"BAD ID"))</x:f>
        <x:v>0</x:v>
      </x:c>
    </x:row>
    <x:row r="210" ht="28" customHeight="1">
      <x:c r="A210" s="2" t="str">
        <x:v>REV-SAV-2</x:v>
      </x:c>
      <x:c r="B210" s="2" t="str">
        <x:f>IF(VLOOKUP(A210,'Tasks'!$A$2:$X$224,15,FALSE)="","",VLOOKUP(A210,'Tasks'!$A$2:$X$224,15,FALSE))</x:f>
        <x:v>PROC-01</x:v>
      </x:c>
      <x:c r="C210" s="13" t="n">
        <x:f>VLOOKUP(A210,'Tasks'!$A$2:$X$224,12,FALSE)</x:f>
        <x:v>46314</x:v>
      </x:c>
      <x:c r="D210" s="2" t="n">
        <x:f>IF(B210="",0,LEN(B210)-LEN(SUBSTITUTE(B210,",",""))+1)</x:f>
        <x:v>1</x:v>
      </x:c>
      <x:c r="E210" s="14" t="n">
        <x:f>MAX(P210:W210)</x:f>
        <x:v>46307</x:v>
      </x:c>
      <x:c r="F210" s="2" t="n">
        <x:f>COUNTIFS(P210:W210,"BAD ID")</x:f>
        <x:v>0</x:v>
      </x:c>
      <x:c r="G210" s="2" t="str">
        <x:f>IF(D210&gt;8,"TOO MANY",IF(F210&gt;0,"BAD ID",IF(C210&gt;=E210,"OK","LATE")))</x:f>
        <x:v>OK</x:v>
      </x:c>
      <x:c r="H210" s="2" t="str">
        <x:f>TRIM(MID(SUBSTITUTE($B210,",",REPT(" ",100)),1,100))</x:f>
        <x:v>PROC-01</x:v>
      </x:c>
      <x:c r="I210" s="2" t="str">
        <x:f>TRIM(MID(SUBSTITUTE($B210,",",REPT(" ",100)),101,100))</x:f>
      </x:c>
      <x:c r="J210" s="2" t="str">
        <x:f>TRIM(MID(SUBSTITUTE($B210,",",REPT(" ",100)),201,100))</x:f>
      </x:c>
      <x:c r="K210" s="2" t="str">
        <x:f>TRIM(MID(SUBSTITUTE($B210,",",REPT(" ",100)),301,100))</x:f>
      </x:c>
      <x:c r="L210" s="2" t="str">
        <x:f>TRIM(MID(SUBSTITUTE($B210,",",REPT(" ",100)),401,100))</x:f>
      </x:c>
      <x:c r="M210" s="2" t="str">
        <x:f>TRIM(MID(SUBSTITUTE($B210,",",REPT(" ",100)),501,100))</x:f>
      </x:c>
      <x:c r="N210" s="2" t="str">
        <x:f>TRIM(MID(SUBSTITUTE($B210,",",REPT(" ",100)),601,100))</x:f>
      </x:c>
      <x:c r="O210" s="2" t="str">
        <x:f>TRIM(MID(SUBSTITUTE($B210,",",REPT(" ",100)),701,100))</x:f>
      </x:c>
      <x:c r="P210" s="14" t="n">
        <x:f>IF(H210="",0,IF(COUNTIFS('Tasks'!$A$2:$A$224,H210)=1,INDEX('Tasks'!$M$2:$M$224,MATCH(H210,'Tasks'!$A$2:$A$224,0)),"BAD ID"))</x:f>
        <x:v>46307</x:v>
      </x:c>
      <x:c r="Q210" s="14" t="n">
        <x:f>IF(I210="",0,IF(COUNTIFS('Tasks'!$A$2:$A$224,I210)=1,INDEX('Tasks'!$M$2:$M$224,MATCH(I210,'Tasks'!$A$2:$A$224,0)),"BAD ID"))</x:f>
        <x:v>0</x:v>
      </x:c>
      <x:c r="R210" s="14" t="n">
        <x:f>IF(J210="",0,IF(COUNTIFS('Tasks'!$A$2:$A$224,J210)=1,INDEX('Tasks'!$M$2:$M$224,MATCH(J210,'Tasks'!$A$2:$A$224,0)),"BAD ID"))</x:f>
        <x:v>0</x:v>
      </x:c>
      <x:c r="S210" s="14" t="n">
        <x:f>IF(K210="",0,IF(COUNTIFS('Tasks'!$A$2:$A$224,K210)=1,INDEX('Tasks'!$M$2:$M$224,MATCH(K210,'Tasks'!$A$2:$A$224,0)),"BAD ID"))</x:f>
        <x:v>0</x:v>
      </x:c>
      <x:c r="T210" s="14" t="n">
        <x:f>IF(L210="",0,IF(COUNTIFS('Tasks'!$A$2:$A$224,L210)=1,INDEX('Tasks'!$M$2:$M$224,MATCH(L210,'Tasks'!$A$2:$A$224,0)),"BAD ID"))</x:f>
        <x:v>0</x:v>
      </x:c>
      <x:c r="U210" s="14" t="n">
        <x:f>IF(M210="",0,IF(COUNTIFS('Tasks'!$A$2:$A$224,M210)=1,INDEX('Tasks'!$M$2:$M$224,MATCH(M210,'Tasks'!$A$2:$A$224,0)),"BAD ID"))</x:f>
        <x:v>0</x:v>
      </x:c>
      <x:c r="V210" s="14" t="n">
        <x:f>IF(N210="",0,IF(COUNTIFS('Tasks'!$A$2:$A$224,N210)=1,INDEX('Tasks'!$M$2:$M$224,MATCH(N210,'Tasks'!$A$2:$A$224,0)),"BAD ID"))</x:f>
        <x:v>0</x:v>
      </x:c>
      <x:c r="W210" s="14" t="n">
        <x:f>IF(O210="",0,IF(COUNTIFS('Tasks'!$A$2:$A$224,O210)=1,INDEX('Tasks'!$M$2:$M$224,MATCH(O210,'Tasks'!$A$2:$A$224,0)),"BAD ID"))</x:f>
        <x:v>0</x:v>
      </x:c>
    </x:row>
    <x:row r="211" ht="28" customHeight="1">
      <x:c r="A211" s="2" t="str">
        <x:v>COM-SAV-2</x:v>
      </x:c>
      <x:c r="B211" s="2" t="str">
        <x:f>IF(VLOOKUP(A211,'Tasks'!$A$2:$X$224,15,FALSE)="","",VLOOKUP(A211,'Tasks'!$A$2:$X$224,15,FALSE))</x:f>
      </x:c>
      <x:c r="C211" s="13" t="n">
        <x:f>VLOOKUP(A211,'Tasks'!$A$2:$X$224,12,FALSE)</x:f>
        <x:v>46314</x:v>
      </x:c>
      <x:c r="D211" s="2" t="n">
        <x:f>IF(B211="",0,LEN(B211)-LEN(SUBSTITUTE(B211,",",""))+1)</x:f>
        <x:v>0</x:v>
      </x:c>
      <x:c r="E211" s="14" t="n">
        <x:f>MAX(P211:W211)</x:f>
        <x:v>0</x:v>
      </x:c>
      <x:c r="F211" s="2" t="n">
        <x:f>COUNTIFS(P211:W211,"BAD ID")</x:f>
        <x:v>0</x:v>
      </x:c>
      <x:c r="G211" s="2" t="str">
        <x:f>IF(D211&gt;8,"TOO MANY",IF(F211&gt;0,"BAD ID",IF(C211&gt;=E211,"OK","LATE")))</x:f>
        <x:v>OK</x:v>
      </x:c>
      <x:c r="H211" s="2" t="str">
        <x:f>TRIM(MID(SUBSTITUTE($B211,",",REPT(" ",100)),1,100))</x:f>
      </x:c>
      <x:c r="I211" s="2" t="str">
        <x:f>TRIM(MID(SUBSTITUTE($B211,",",REPT(" ",100)),101,100))</x:f>
      </x:c>
      <x:c r="J211" s="2" t="str">
        <x:f>TRIM(MID(SUBSTITUTE($B211,",",REPT(" ",100)),201,100))</x:f>
      </x:c>
      <x:c r="K211" s="2" t="str">
        <x:f>TRIM(MID(SUBSTITUTE($B211,",",REPT(" ",100)),301,100))</x:f>
      </x:c>
      <x:c r="L211" s="2" t="str">
        <x:f>TRIM(MID(SUBSTITUTE($B211,",",REPT(" ",100)),401,100))</x:f>
      </x:c>
      <x:c r="M211" s="2" t="str">
        <x:f>TRIM(MID(SUBSTITUTE($B211,",",REPT(" ",100)),501,100))</x:f>
      </x:c>
      <x:c r="N211" s="2" t="str">
        <x:f>TRIM(MID(SUBSTITUTE($B211,",",REPT(" ",100)),601,100))</x:f>
      </x:c>
      <x:c r="O211" s="2" t="str">
        <x:f>TRIM(MID(SUBSTITUTE($B211,",",REPT(" ",100)),701,100))</x:f>
      </x:c>
      <x:c r="P211" s="14" t="n">
        <x:f>IF(H211="",0,IF(COUNTIFS('Tasks'!$A$2:$A$224,H211)=1,INDEX('Tasks'!$M$2:$M$224,MATCH(H211,'Tasks'!$A$2:$A$224,0)),"BAD ID"))</x:f>
        <x:v>0</x:v>
      </x:c>
      <x:c r="Q211" s="14" t="n">
        <x:f>IF(I211="",0,IF(COUNTIFS('Tasks'!$A$2:$A$224,I211)=1,INDEX('Tasks'!$M$2:$M$224,MATCH(I211,'Tasks'!$A$2:$A$224,0)),"BAD ID"))</x:f>
        <x:v>0</x:v>
      </x:c>
      <x:c r="R211" s="14" t="n">
        <x:f>IF(J211="",0,IF(COUNTIFS('Tasks'!$A$2:$A$224,J211)=1,INDEX('Tasks'!$M$2:$M$224,MATCH(J211,'Tasks'!$A$2:$A$224,0)),"BAD ID"))</x:f>
        <x:v>0</x:v>
      </x:c>
      <x:c r="S211" s="14" t="n">
        <x:f>IF(K211="",0,IF(COUNTIFS('Tasks'!$A$2:$A$224,K211)=1,INDEX('Tasks'!$M$2:$M$224,MATCH(K211,'Tasks'!$A$2:$A$224,0)),"BAD ID"))</x:f>
        <x:v>0</x:v>
      </x:c>
      <x:c r="T211" s="14" t="n">
        <x:f>IF(L211="",0,IF(COUNTIFS('Tasks'!$A$2:$A$224,L211)=1,INDEX('Tasks'!$M$2:$M$224,MATCH(L211,'Tasks'!$A$2:$A$224,0)),"BAD ID"))</x:f>
        <x:v>0</x:v>
      </x:c>
      <x:c r="U211" s="14" t="n">
        <x:f>IF(M211="",0,IF(COUNTIFS('Tasks'!$A$2:$A$224,M211)=1,INDEX('Tasks'!$M$2:$M$224,MATCH(M211,'Tasks'!$A$2:$A$224,0)),"BAD ID"))</x:f>
        <x:v>0</x:v>
      </x:c>
      <x:c r="V211" s="14" t="n">
        <x:f>IF(N211="",0,IF(COUNTIFS('Tasks'!$A$2:$A$224,N211)=1,INDEX('Tasks'!$M$2:$M$224,MATCH(N211,'Tasks'!$A$2:$A$224,0)),"BAD ID"))</x:f>
        <x:v>0</x:v>
      </x:c>
      <x:c r="W211" s="14" t="n">
        <x:f>IF(O211="",0,IF(COUNTIFS('Tasks'!$A$2:$A$224,O211)=1,INDEX('Tasks'!$M$2:$M$224,MATCH(O211,'Tasks'!$A$2:$A$224,0)),"BAD ID"))</x:f>
        <x:v>0</x:v>
      </x:c>
    </x:row>
    <x:row r="212" ht="28" customHeight="1">
      <x:c r="A212" s="2" t="str">
        <x:v>IND-SAV-AI2</x:v>
      </x:c>
      <x:c r="B212" s="2" t="str">
        <x:f>IF(VLOOKUP(A212,'Tasks'!$A$2:$X$224,15,FALSE)="","",VLOOKUP(A212,'Tasks'!$A$2:$X$224,15,FALSE))</x:f>
      </x:c>
      <x:c r="C212" s="13" t="n">
        <x:f>VLOOKUP(A212,'Tasks'!$A$2:$X$224,12,FALSE)</x:f>
        <x:v>46320</x:v>
      </x:c>
      <x:c r="D212" s="2" t="n">
        <x:f>IF(B212="",0,LEN(B212)-LEN(SUBSTITUTE(B212,",",""))+1)</x:f>
        <x:v>0</x:v>
      </x:c>
      <x:c r="E212" s="14" t="n">
        <x:f>MAX(P212:W212)</x:f>
        <x:v>0</x:v>
      </x:c>
      <x:c r="F212" s="2" t="n">
        <x:f>COUNTIFS(P212:W212,"BAD ID")</x:f>
        <x:v>0</x:v>
      </x:c>
      <x:c r="G212" s="2" t="str">
        <x:f>IF(D212&gt;8,"TOO MANY",IF(F212&gt;0,"BAD ID",IF(C212&gt;=E212,"OK","LATE")))</x:f>
        <x:v>OK</x:v>
      </x:c>
      <x:c r="H212" s="2" t="str">
        <x:f>TRIM(MID(SUBSTITUTE($B212,",",REPT(" ",100)),1,100))</x:f>
      </x:c>
      <x:c r="I212" s="2" t="str">
        <x:f>TRIM(MID(SUBSTITUTE($B212,",",REPT(" ",100)),101,100))</x:f>
      </x:c>
      <x:c r="J212" s="2" t="str">
        <x:f>TRIM(MID(SUBSTITUTE($B212,",",REPT(" ",100)),201,100))</x:f>
      </x:c>
      <x:c r="K212" s="2" t="str">
        <x:f>TRIM(MID(SUBSTITUTE($B212,",",REPT(" ",100)),301,100))</x:f>
      </x:c>
      <x:c r="L212" s="2" t="str">
        <x:f>TRIM(MID(SUBSTITUTE($B212,",",REPT(" ",100)),401,100))</x:f>
      </x:c>
      <x:c r="M212" s="2" t="str">
        <x:f>TRIM(MID(SUBSTITUTE($B212,",",REPT(" ",100)),501,100))</x:f>
      </x:c>
      <x:c r="N212" s="2" t="str">
        <x:f>TRIM(MID(SUBSTITUTE($B212,",",REPT(" ",100)),601,100))</x:f>
      </x:c>
      <x:c r="O212" s="2" t="str">
        <x:f>TRIM(MID(SUBSTITUTE($B212,",",REPT(" ",100)),701,100))</x:f>
      </x:c>
      <x:c r="P212" s="14" t="n">
        <x:f>IF(H212="",0,IF(COUNTIFS('Tasks'!$A$2:$A$224,H212)=1,INDEX('Tasks'!$M$2:$M$224,MATCH(H212,'Tasks'!$A$2:$A$224,0)),"BAD ID"))</x:f>
        <x:v>0</x:v>
      </x:c>
      <x:c r="Q212" s="14" t="n">
        <x:f>IF(I212="",0,IF(COUNTIFS('Tasks'!$A$2:$A$224,I212)=1,INDEX('Tasks'!$M$2:$M$224,MATCH(I212,'Tasks'!$A$2:$A$224,0)),"BAD ID"))</x:f>
        <x:v>0</x:v>
      </x:c>
      <x:c r="R212" s="14" t="n">
        <x:f>IF(J212="",0,IF(COUNTIFS('Tasks'!$A$2:$A$224,J212)=1,INDEX('Tasks'!$M$2:$M$224,MATCH(J212,'Tasks'!$A$2:$A$224,0)),"BAD ID"))</x:f>
        <x:v>0</x:v>
      </x:c>
      <x:c r="S212" s="14" t="n">
        <x:f>IF(K212="",0,IF(COUNTIFS('Tasks'!$A$2:$A$224,K212)=1,INDEX('Tasks'!$M$2:$M$224,MATCH(K212,'Tasks'!$A$2:$A$224,0)),"BAD ID"))</x:f>
        <x:v>0</x:v>
      </x:c>
      <x:c r="T212" s="14" t="n">
        <x:f>IF(L212="",0,IF(COUNTIFS('Tasks'!$A$2:$A$224,L212)=1,INDEX('Tasks'!$M$2:$M$224,MATCH(L212,'Tasks'!$A$2:$A$224,0)),"BAD ID"))</x:f>
        <x:v>0</x:v>
      </x:c>
      <x:c r="U212" s="14" t="n">
        <x:f>IF(M212="",0,IF(COUNTIFS('Tasks'!$A$2:$A$224,M212)=1,INDEX('Tasks'!$M$2:$M$224,MATCH(M212,'Tasks'!$A$2:$A$224,0)),"BAD ID"))</x:f>
        <x:v>0</x:v>
      </x:c>
      <x:c r="V212" s="14" t="n">
        <x:f>IF(N212="",0,IF(COUNTIFS('Tasks'!$A$2:$A$224,N212)=1,INDEX('Tasks'!$M$2:$M$224,MATCH(N212,'Tasks'!$A$2:$A$224,0)),"BAD ID"))</x:f>
        <x:v>0</x:v>
      </x:c>
      <x:c r="W212" s="14" t="n">
        <x:f>IF(O212="",0,IF(COUNTIFS('Tasks'!$A$2:$A$224,O212)=1,INDEX('Tasks'!$M$2:$M$224,MATCH(O212,'Tasks'!$A$2:$A$224,0)),"BAD ID"))</x:f>
        <x:v>0</x:v>
      </x:c>
    </x:row>
    <x:row r="213" ht="28" customHeight="1">
      <x:c r="A213" s="2" t="str">
        <x:v>REV-SAV-3</x:v>
      </x:c>
      <x:c r="B213" s="2" t="str">
        <x:f>IF(VLOOKUP(A213,'Tasks'!$A$2:$X$224,15,FALSE)="","",VLOOKUP(A213,'Tasks'!$A$2:$X$224,15,FALSE))</x:f>
        <x:v>PROC-01</x:v>
      </x:c>
      <x:c r="C213" s="13" t="n">
        <x:f>VLOOKUP(A213,'Tasks'!$A$2:$X$224,12,FALSE)</x:f>
        <x:v>46321</x:v>
      </x:c>
      <x:c r="D213" s="2" t="n">
        <x:f>IF(B213="",0,LEN(B213)-LEN(SUBSTITUTE(B213,",",""))+1)</x:f>
        <x:v>1</x:v>
      </x:c>
      <x:c r="E213" s="14" t="n">
        <x:f>MAX(P213:W213)</x:f>
        <x:v>46307</x:v>
      </x:c>
      <x:c r="F213" s="2" t="n">
        <x:f>COUNTIFS(P213:W213,"BAD ID")</x:f>
        <x:v>0</x:v>
      </x:c>
      <x:c r="G213" s="2" t="str">
        <x:f>IF(D213&gt;8,"TOO MANY",IF(F213&gt;0,"BAD ID",IF(C213&gt;=E213,"OK","LATE")))</x:f>
        <x:v>OK</x:v>
      </x:c>
      <x:c r="H213" s="2" t="str">
        <x:f>TRIM(MID(SUBSTITUTE($B213,",",REPT(" ",100)),1,100))</x:f>
        <x:v>PROC-01</x:v>
      </x:c>
      <x:c r="I213" s="2" t="str">
        <x:f>TRIM(MID(SUBSTITUTE($B213,",",REPT(" ",100)),101,100))</x:f>
      </x:c>
      <x:c r="J213" s="2" t="str">
        <x:f>TRIM(MID(SUBSTITUTE($B213,",",REPT(" ",100)),201,100))</x:f>
      </x:c>
      <x:c r="K213" s="2" t="str">
        <x:f>TRIM(MID(SUBSTITUTE($B213,",",REPT(" ",100)),301,100))</x:f>
      </x:c>
      <x:c r="L213" s="2" t="str">
        <x:f>TRIM(MID(SUBSTITUTE($B213,",",REPT(" ",100)),401,100))</x:f>
      </x:c>
      <x:c r="M213" s="2" t="str">
        <x:f>TRIM(MID(SUBSTITUTE($B213,",",REPT(" ",100)),501,100))</x:f>
      </x:c>
      <x:c r="N213" s="2" t="str">
        <x:f>TRIM(MID(SUBSTITUTE($B213,",",REPT(" ",100)),601,100))</x:f>
      </x:c>
      <x:c r="O213" s="2" t="str">
        <x:f>TRIM(MID(SUBSTITUTE($B213,",",REPT(" ",100)),701,100))</x:f>
      </x:c>
      <x:c r="P213" s="14" t="n">
        <x:f>IF(H213="",0,IF(COUNTIFS('Tasks'!$A$2:$A$224,H213)=1,INDEX('Tasks'!$M$2:$M$224,MATCH(H213,'Tasks'!$A$2:$A$224,0)),"BAD ID"))</x:f>
        <x:v>46307</x:v>
      </x:c>
      <x:c r="Q213" s="14" t="n">
        <x:f>IF(I213="",0,IF(COUNTIFS('Tasks'!$A$2:$A$224,I213)=1,INDEX('Tasks'!$M$2:$M$224,MATCH(I213,'Tasks'!$A$2:$A$224,0)),"BAD ID"))</x:f>
        <x:v>0</x:v>
      </x:c>
      <x:c r="R213" s="14" t="n">
        <x:f>IF(J213="",0,IF(COUNTIFS('Tasks'!$A$2:$A$224,J213)=1,INDEX('Tasks'!$M$2:$M$224,MATCH(J213,'Tasks'!$A$2:$A$224,0)),"BAD ID"))</x:f>
        <x:v>0</x:v>
      </x:c>
      <x:c r="S213" s="14" t="n">
        <x:f>IF(K213="",0,IF(COUNTIFS('Tasks'!$A$2:$A$224,K213)=1,INDEX('Tasks'!$M$2:$M$224,MATCH(K213,'Tasks'!$A$2:$A$224,0)),"BAD ID"))</x:f>
        <x:v>0</x:v>
      </x:c>
      <x:c r="T213" s="14" t="n">
        <x:f>IF(L213="",0,IF(COUNTIFS('Tasks'!$A$2:$A$224,L213)=1,INDEX('Tasks'!$M$2:$M$224,MATCH(L213,'Tasks'!$A$2:$A$224,0)),"BAD ID"))</x:f>
        <x:v>0</x:v>
      </x:c>
      <x:c r="U213" s="14" t="n">
        <x:f>IF(M213="",0,IF(COUNTIFS('Tasks'!$A$2:$A$224,M213)=1,INDEX('Tasks'!$M$2:$M$224,MATCH(M213,'Tasks'!$A$2:$A$224,0)),"BAD ID"))</x:f>
        <x:v>0</x:v>
      </x:c>
      <x:c r="V213" s="14" t="n">
        <x:f>IF(N213="",0,IF(COUNTIFS('Tasks'!$A$2:$A$224,N213)=1,INDEX('Tasks'!$M$2:$M$224,MATCH(N213,'Tasks'!$A$2:$A$224,0)),"BAD ID"))</x:f>
        <x:v>0</x:v>
      </x:c>
      <x:c r="W213" s="14" t="n">
        <x:f>IF(O213="",0,IF(COUNTIFS('Tasks'!$A$2:$A$224,O213)=1,INDEX('Tasks'!$M$2:$M$224,MATCH(O213,'Tasks'!$A$2:$A$224,0)),"BAD ID"))</x:f>
        <x:v>0</x:v>
      </x:c>
    </x:row>
    <x:row r="214" ht="28" customHeight="1">
      <x:c r="A214" s="2" t="str">
        <x:v>COM-SAV-3</x:v>
      </x:c>
      <x:c r="B214" s="2" t="str">
        <x:f>IF(VLOOKUP(A214,'Tasks'!$A$2:$X$224,15,FALSE)="","",VLOOKUP(A214,'Tasks'!$A$2:$X$224,15,FALSE))</x:f>
      </x:c>
      <x:c r="C214" s="13" t="n">
        <x:f>VLOOKUP(A214,'Tasks'!$A$2:$X$224,12,FALSE)</x:f>
        <x:v>46321</x:v>
      </x:c>
      <x:c r="D214" s="2" t="n">
        <x:f>IF(B214="",0,LEN(B214)-LEN(SUBSTITUTE(B214,",",""))+1)</x:f>
        <x:v>0</x:v>
      </x:c>
      <x:c r="E214" s="14" t="n">
        <x:f>MAX(P214:W214)</x:f>
        <x:v>0</x:v>
      </x:c>
      <x:c r="F214" s="2" t="n">
        <x:f>COUNTIFS(P214:W214,"BAD ID")</x:f>
        <x:v>0</x:v>
      </x:c>
      <x:c r="G214" s="2" t="str">
        <x:f>IF(D214&gt;8,"TOO MANY",IF(F214&gt;0,"BAD ID",IF(C214&gt;=E214,"OK","LATE")))</x:f>
        <x:v>OK</x:v>
      </x:c>
      <x:c r="H214" s="2" t="str">
        <x:f>TRIM(MID(SUBSTITUTE($B214,",",REPT(" ",100)),1,100))</x:f>
      </x:c>
      <x:c r="I214" s="2" t="str">
        <x:f>TRIM(MID(SUBSTITUTE($B214,",",REPT(" ",100)),101,100))</x:f>
      </x:c>
      <x:c r="J214" s="2" t="str">
        <x:f>TRIM(MID(SUBSTITUTE($B214,",",REPT(" ",100)),201,100))</x:f>
      </x:c>
      <x:c r="K214" s="2" t="str">
        <x:f>TRIM(MID(SUBSTITUTE($B214,",",REPT(" ",100)),301,100))</x:f>
      </x:c>
      <x:c r="L214" s="2" t="str">
        <x:f>TRIM(MID(SUBSTITUTE($B214,",",REPT(" ",100)),401,100))</x:f>
      </x:c>
      <x:c r="M214" s="2" t="str">
        <x:f>TRIM(MID(SUBSTITUTE($B214,",",REPT(" ",100)),501,100))</x:f>
      </x:c>
      <x:c r="N214" s="2" t="str">
        <x:f>TRIM(MID(SUBSTITUTE($B214,",",REPT(" ",100)),601,100))</x:f>
      </x:c>
      <x:c r="O214" s="2" t="str">
        <x:f>TRIM(MID(SUBSTITUTE($B214,",",REPT(" ",100)),701,100))</x:f>
      </x:c>
      <x:c r="P214" s="14" t="n">
        <x:f>IF(H214="",0,IF(COUNTIFS('Tasks'!$A$2:$A$224,H214)=1,INDEX('Tasks'!$M$2:$M$224,MATCH(H214,'Tasks'!$A$2:$A$224,0)),"BAD ID"))</x:f>
        <x:v>0</x:v>
      </x:c>
      <x:c r="Q214" s="14" t="n">
        <x:f>IF(I214="",0,IF(COUNTIFS('Tasks'!$A$2:$A$224,I214)=1,INDEX('Tasks'!$M$2:$M$224,MATCH(I214,'Tasks'!$A$2:$A$224,0)),"BAD ID"))</x:f>
        <x:v>0</x:v>
      </x:c>
      <x:c r="R214" s="14" t="n">
        <x:f>IF(J214="",0,IF(COUNTIFS('Tasks'!$A$2:$A$224,J214)=1,INDEX('Tasks'!$M$2:$M$224,MATCH(J214,'Tasks'!$A$2:$A$224,0)),"BAD ID"))</x:f>
        <x:v>0</x:v>
      </x:c>
      <x:c r="S214" s="14" t="n">
        <x:f>IF(K214="",0,IF(COUNTIFS('Tasks'!$A$2:$A$224,K214)=1,INDEX('Tasks'!$M$2:$M$224,MATCH(K214,'Tasks'!$A$2:$A$224,0)),"BAD ID"))</x:f>
        <x:v>0</x:v>
      </x:c>
      <x:c r="T214" s="14" t="n">
        <x:f>IF(L214="",0,IF(COUNTIFS('Tasks'!$A$2:$A$224,L214)=1,INDEX('Tasks'!$M$2:$M$224,MATCH(L214,'Tasks'!$A$2:$A$224,0)),"BAD ID"))</x:f>
        <x:v>0</x:v>
      </x:c>
      <x:c r="U214" s="14" t="n">
        <x:f>IF(M214="",0,IF(COUNTIFS('Tasks'!$A$2:$A$224,M214)=1,INDEX('Tasks'!$M$2:$M$224,MATCH(M214,'Tasks'!$A$2:$A$224,0)),"BAD ID"))</x:f>
        <x:v>0</x:v>
      </x:c>
      <x:c r="V214" s="14" t="n">
        <x:f>IF(N214="",0,IF(COUNTIFS('Tasks'!$A$2:$A$224,N214)=1,INDEX('Tasks'!$M$2:$M$224,MATCH(N214,'Tasks'!$A$2:$A$224,0)),"BAD ID"))</x:f>
        <x:v>0</x:v>
      </x:c>
      <x:c r="W214" s="14" t="n">
        <x:f>IF(O214="",0,IF(COUNTIFS('Tasks'!$A$2:$A$224,O214)=1,INDEX('Tasks'!$M$2:$M$224,MATCH(O214,'Tasks'!$A$2:$A$224,0)),"BAD ID"))</x:f>
        <x:v>0</x:v>
      </x:c>
    </x:row>
    <x:row r="215" ht="28" customHeight="1">
      <x:c r="A215" s="2" t="str">
        <x:v>IND-SAV-AI3</x:v>
      </x:c>
      <x:c r="B215" s="2" t="str">
        <x:f>IF(VLOOKUP(A215,'Tasks'!$A$2:$X$224,15,FALSE)="","",VLOOKUP(A215,'Tasks'!$A$2:$X$224,15,FALSE))</x:f>
      </x:c>
      <x:c r="C215" s="13" t="n">
        <x:f>VLOOKUP(A215,'Tasks'!$A$2:$X$224,12,FALSE)</x:f>
        <x:v>46326</x:v>
      </x:c>
      <x:c r="D215" s="2" t="n">
        <x:f>IF(B215="",0,LEN(B215)-LEN(SUBSTITUTE(B215,",",""))+1)</x:f>
        <x:v>0</x:v>
      </x:c>
      <x:c r="E215" s="14" t="n">
        <x:f>MAX(P215:W215)</x:f>
        <x:v>0</x:v>
      </x:c>
      <x:c r="F215" s="2" t="n">
        <x:f>COUNTIFS(P215:W215,"BAD ID")</x:f>
        <x:v>0</x:v>
      </x:c>
      <x:c r="G215" s="2" t="str">
        <x:f>IF(D215&gt;8,"TOO MANY",IF(F215&gt;0,"BAD ID",IF(C215&gt;=E215,"OK","LATE")))</x:f>
        <x:v>OK</x:v>
      </x:c>
      <x:c r="H215" s="2" t="str">
        <x:f>TRIM(MID(SUBSTITUTE($B215,",",REPT(" ",100)),1,100))</x:f>
      </x:c>
      <x:c r="I215" s="2" t="str">
        <x:f>TRIM(MID(SUBSTITUTE($B215,",",REPT(" ",100)),101,100))</x:f>
      </x:c>
      <x:c r="J215" s="2" t="str">
        <x:f>TRIM(MID(SUBSTITUTE($B215,",",REPT(" ",100)),201,100))</x:f>
      </x:c>
      <x:c r="K215" s="2" t="str">
        <x:f>TRIM(MID(SUBSTITUTE($B215,",",REPT(" ",100)),301,100))</x:f>
      </x:c>
      <x:c r="L215" s="2" t="str">
        <x:f>TRIM(MID(SUBSTITUTE($B215,",",REPT(" ",100)),401,100))</x:f>
      </x:c>
      <x:c r="M215" s="2" t="str">
        <x:f>TRIM(MID(SUBSTITUTE($B215,",",REPT(" ",100)),501,100))</x:f>
      </x:c>
      <x:c r="N215" s="2" t="str">
        <x:f>TRIM(MID(SUBSTITUTE($B215,",",REPT(" ",100)),601,100))</x:f>
      </x:c>
      <x:c r="O215" s="2" t="str">
        <x:f>TRIM(MID(SUBSTITUTE($B215,",",REPT(" ",100)),701,100))</x:f>
      </x:c>
      <x:c r="P215" s="14" t="n">
        <x:f>IF(H215="",0,IF(COUNTIFS('Tasks'!$A$2:$A$224,H215)=1,INDEX('Tasks'!$M$2:$M$224,MATCH(H215,'Tasks'!$A$2:$A$224,0)),"BAD ID"))</x:f>
        <x:v>0</x:v>
      </x:c>
      <x:c r="Q215" s="14" t="n">
        <x:f>IF(I215="",0,IF(COUNTIFS('Tasks'!$A$2:$A$224,I215)=1,INDEX('Tasks'!$M$2:$M$224,MATCH(I215,'Tasks'!$A$2:$A$224,0)),"BAD ID"))</x:f>
        <x:v>0</x:v>
      </x:c>
      <x:c r="R215" s="14" t="n">
        <x:f>IF(J215="",0,IF(COUNTIFS('Tasks'!$A$2:$A$224,J215)=1,INDEX('Tasks'!$M$2:$M$224,MATCH(J215,'Tasks'!$A$2:$A$224,0)),"BAD ID"))</x:f>
        <x:v>0</x:v>
      </x:c>
      <x:c r="S215" s="14" t="n">
        <x:f>IF(K215="",0,IF(COUNTIFS('Tasks'!$A$2:$A$224,K215)=1,INDEX('Tasks'!$M$2:$M$224,MATCH(K215,'Tasks'!$A$2:$A$224,0)),"BAD ID"))</x:f>
        <x:v>0</x:v>
      </x:c>
      <x:c r="T215" s="14" t="n">
        <x:f>IF(L215="",0,IF(COUNTIFS('Tasks'!$A$2:$A$224,L215)=1,INDEX('Tasks'!$M$2:$M$224,MATCH(L215,'Tasks'!$A$2:$A$224,0)),"BAD ID"))</x:f>
        <x:v>0</x:v>
      </x:c>
      <x:c r="U215" s="14" t="n">
        <x:f>IF(M215="",0,IF(COUNTIFS('Tasks'!$A$2:$A$224,M215)=1,INDEX('Tasks'!$M$2:$M$224,MATCH(M215,'Tasks'!$A$2:$A$224,0)),"BAD ID"))</x:f>
        <x:v>0</x:v>
      </x:c>
      <x:c r="V215" s="14" t="n">
        <x:f>IF(N215="",0,IF(COUNTIFS('Tasks'!$A$2:$A$224,N215)=1,INDEX('Tasks'!$M$2:$M$224,MATCH(N215,'Tasks'!$A$2:$A$224,0)),"BAD ID"))</x:f>
        <x:v>0</x:v>
      </x:c>
      <x:c r="W215" s="14" t="n">
        <x:f>IF(O215="",0,IF(COUNTIFS('Tasks'!$A$2:$A$224,O215)=1,INDEX('Tasks'!$M$2:$M$224,MATCH(O215,'Tasks'!$A$2:$A$224,0)),"BAD ID"))</x:f>
        <x:v>0</x:v>
      </x:c>
    </x:row>
    <x:row r="216" ht="28" customHeight="1">
      <x:c r="A216" s="2" t="str">
        <x:v>IND-SAV-REF</x:v>
      </x:c>
      <x:c r="B216" s="2" t="str">
        <x:f>IF(VLOOKUP(A216,'Tasks'!$A$2:$X$224,15,FALSE)="","",VLOOKUP(A216,'Tasks'!$A$2:$X$224,15,FALSE))</x:f>
      </x:c>
      <x:c r="C216" s="13" t="n">
        <x:f>VLOOKUP(A216,'Tasks'!$A$2:$X$224,12,FALSE)</x:f>
        <x:v>46325</x:v>
      </x:c>
      <x:c r="D216" s="2" t="n">
        <x:f>IF(B216="",0,LEN(B216)-LEN(SUBSTITUTE(B216,",",""))+1)</x:f>
        <x:v>0</x:v>
      </x:c>
      <x:c r="E216" s="14" t="n">
        <x:f>MAX(P216:W216)</x:f>
        <x:v>0</x:v>
      </x:c>
      <x:c r="F216" s="2" t="n">
        <x:f>COUNTIFS(P216:W216,"BAD ID")</x:f>
        <x:v>0</x:v>
      </x:c>
      <x:c r="G216" s="2" t="str">
        <x:f>IF(D216&gt;8,"TOO MANY",IF(F216&gt;0,"BAD ID",IF(C216&gt;=E216,"OK","LATE")))</x:f>
        <x:v>OK</x:v>
      </x:c>
      <x:c r="H216" s="2" t="str">
        <x:f>TRIM(MID(SUBSTITUTE($B216,",",REPT(" ",100)),1,100))</x:f>
      </x:c>
      <x:c r="I216" s="2" t="str">
        <x:f>TRIM(MID(SUBSTITUTE($B216,",",REPT(" ",100)),101,100))</x:f>
      </x:c>
      <x:c r="J216" s="2" t="str">
        <x:f>TRIM(MID(SUBSTITUTE($B216,",",REPT(" ",100)),201,100))</x:f>
      </x:c>
      <x:c r="K216" s="2" t="str">
        <x:f>TRIM(MID(SUBSTITUTE($B216,",",REPT(" ",100)),301,100))</x:f>
      </x:c>
      <x:c r="L216" s="2" t="str">
        <x:f>TRIM(MID(SUBSTITUTE($B216,",",REPT(" ",100)),401,100))</x:f>
      </x:c>
      <x:c r="M216" s="2" t="str">
        <x:f>TRIM(MID(SUBSTITUTE($B216,",",REPT(" ",100)),501,100))</x:f>
      </x:c>
      <x:c r="N216" s="2" t="str">
        <x:f>TRIM(MID(SUBSTITUTE($B216,",",REPT(" ",100)),601,100))</x:f>
      </x:c>
      <x:c r="O216" s="2" t="str">
        <x:f>TRIM(MID(SUBSTITUTE($B216,",",REPT(" ",100)),701,100))</x:f>
      </x:c>
      <x:c r="P216" s="14" t="n">
        <x:f>IF(H216="",0,IF(COUNTIFS('Tasks'!$A$2:$A$224,H216)=1,INDEX('Tasks'!$M$2:$M$224,MATCH(H216,'Tasks'!$A$2:$A$224,0)),"BAD ID"))</x:f>
        <x:v>0</x:v>
      </x:c>
      <x:c r="Q216" s="14" t="n">
        <x:f>IF(I216="",0,IF(COUNTIFS('Tasks'!$A$2:$A$224,I216)=1,INDEX('Tasks'!$M$2:$M$224,MATCH(I216,'Tasks'!$A$2:$A$224,0)),"BAD ID"))</x:f>
        <x:v>0</x:v>
      </x:c>
      <x:c r="R216" s="14" t="n">
        <x:f>IF(J216="",0,IF(COUNTIFS('Tasks'!$A$2:$A$224,J216)=1,INDEX('Tasks'!$M$2:$M$224,MATCH(J216,'Tasks'!$A$2:$A$224,0)),"BAD ID"))</x:f>
        <x:v>0</x:v>
      </x:c>
      <x:c r="S216" s="14" t="n">
        <x:f>IF(K216="",0,IF(COUNTIFS('Tasks'!$A$2:$A$224,K216)=1,INDEX('Tasks'!$M$2:$M$224,MATCH(K216,'Tasks'!$A$2:$A$224,0)),"BAD ID"))</x:f>
        <x:v>0</x:v>
      </x:c>
      <x:c r="T216" s="14" t="n">
        <x:f>IF(L216="",0,IF(COUNTIFS('Tasks'!$A$2:$A$224,L216)=1,INDEX('Tasks'!$M$2:$M$224,MATCH(L216,'Tasks'!$A$2:$A$224,0)),"BAD ID"))</x:f>
        <x:v>0</x:v>
      </x:c>
      <x:c r="U216" s="14" t="n">
        <x:f>IF(M216="",0,IF(COUNTIFS('Tasks'!$A$2:$A$224,M216)=1,INDEX('Tasks'!$M$2:$M$224,MATCH(M216,'Tasks'!$A$2:$A$224,0)),"BAD ID"))</x:f>
        <x:v>0</x:v>
      </x:c>
      <x:c r="V216" s="14" t="n">
        <x:f>IF(N216="",0,IF(COUNTIFS('Tasks'!$A$2:$A$224,N216)=1,INDEX('Tasks'!$M$2:$M$224,MATCH(N216,'Tasks'!$A$2:$A$224,0)),"BAD ID"))</x:f>
        <x:v>0</x:v>
      </x:c>
      <x:c r="W216" s="14" t="n">
        <x:f>IF(O216="",0,IF(COUNTIFS('Tasks'!$A$2:$A$224,O216)=1,INDEX('Tasks'!$M$2:$M$224,MATCH(O216,'Tasks'!$A$2:$A$224,0)),"BAD ID"))</x:f>
        <x:v>0</x:v>
      </x:c>
    </x:row>
    <x:row r="217" ht="28" customHeight="1">
      <x:c r="A217" s="2" t="str">
        <x:v>IND-SAV-PEER</x:v>
      </x:c>
      <x:c r="B217" s="2" t="str">
        <x:f>IF(VLOOKUP(A217,'Tasks'!$A$2:$X$224,15,FALSE)="","",VLOOKUP(A217,'Tasks'!$A$2:$X$224,15,FALSE))</x:f>
      </x:c>
      <x:c r="C217" s="13" t="n">
        <x:f>VLOOKUP(A217,'Tasks'!$A$2:$X$224,12,FALSE)</x:f>
        <x:v>46326</x:v>
      </x:c>
      <x:c r="D217" s="2" t="n">
        <x:f>IF(B217="",0,LEN(B217)-LEN(SUBSTITUTE(B217,",",""))+1)</x:f>
        <x:v>0</x:v>
      </x:c>
      <x:c r="E217" s="14" t="n">
        <x:f>MAX(P217:W217)</x:f>
        <x:v>0</x:v>
      </x:c>
      <x:c r="F217" s="2" t="n">
        <x:f>COUNTIFS(P217:W217,"BAD ID")</x:f>
        <x:v>0</x:v>
      </x:c>
      <x:c r="G217" s="2" t="str">
        <x:f>IF(D217&gt;8,"TOO MANY",IF(F217&gt;0,"BAD ID",IF(C217&gt;=E217,"OK","LATE")))</x:f>
        <x:v>OK</x:v>
      </x:c>
      <x:c r="H217" s="2" t="str">
        <x:f>TRIM(MID(SUBSTITUTE($B217,",",REPT(" ",100)),1,100))</x:f>
      </x:c>
      <x:c r="I217" s="2" t="str">
        <x:f>TRIM(MID(SUBSTITUTE($B217,",",REPT(" ",100)),101,100))</x:f>
      </x:c>
      <x:c r="J217" s="2" t="str">
        <x:f>TRIM(MID(SUBSTITUTE($B217,",",REPT(" ",100)),201,100))</x:f>
      </x:c>
      <x:c r="K217" s="2" t="str">
        <x:f>TRIM(MID(SUBSTITUTE($B217,",",REPT(" ",100)),301,100))</x:f>
      </x:c>
      <x:c r="L217" s="2" t="str">
        <x:f>TRIM(MID(SUBSTITUTE($B217,",",REPT(" ",100)),401,100))</x:f>
      </x:c>
      <x:c r="M217" s="2" t="str">
        <x:f>TRIM(MID(SUBSTITUTE($B217,",",REPT(" ",100)),501,100))</x:f>
      </x:c>
      <x:c r="N217" s="2" t="str">
        <x:f>TRIM(MID(SUBSTITUTE($B217,",",REPT(" ",100)),601,100))</x:f>
      </x:c>
      <x:c r="O217" s="2" t="str">
        <x:f>TRIM(MID(SUBSTITUTE($B217,",",REPT(" ",100)),701,100))</x:f>
      </x:c>
      <x:c r="P217" s="14" t="n">
        <x:f>IF(H217="",0,IF(COUNTIFS('Tasks'!$A$2:$A$224,H217)=1,INDEX('Tasks'!$M$2:$M$224,MATCH(H217,'Tasks'!$A$2:$A$224,0)),"BAD ID"))</x:f>
        <x:v>0</x:v>
      </x:c>
      <x:c r="Q217" s="14" t="n">
        <x:f>IF(I217="",0,IF(COUNTIFS('Tasks'!$A$2:$A$224,I217)=1,INDEX('Tasks'!$M$2:$M$224,MATCH(I217,'Tasks'!$A$2:$A$224,0)),"BAD ID"))</x:f>
        <x:v>0</x:v>
      </x:c>
      <x:c r="R217" s="14" t="n">
        <x:f>IF(J217="",0,IF(COUNTIFS('Tasks'!$A$2:$A$224,J217)=1,INDEX('Tasks'!$M$2:$M$224,MATCH(J217,'Tasks'!$A$2:$A$224,0)),"BAD ID"))</x:f>
        <x:v>0</x:v>
      </x:c>
      <x:c r="S217" s="14" t="n">
        <x:f>IF(K217="",0,IF(COUNTIFS('Tasks'!$A$2:$A$224,K217)=1,INDEX('Tasks'!$M$2:$M$224,MATCH(K217,'Tasks'!$A$2:$A$224,0)),"BAD ID"))</x:f>
        <x:v>0</x:v>
      </x:c>
      <x:c r="T217" s="14" t="n">
        <x:f>IF(L217="",0,IF(COUNTIFS('Tasks'!$A$2:$A$224,L217)=1,INDEX('Tasks'!$M$2:$M$224,MATCH(L217,'Tasks'!$A$2:$A$224,0)),"BAD ID"))</x:f>
        <x:v>0</x:v>
      </x:c>
      <x:c r="U217" s="14" t="n">
        <x:f>IF(M217="",0,IF(COUNTIFS('Tasks'!$A$2:$A$224,M217)=1,INDEX('Tasks'!$M$2:$M$224,MATCH(M217,'Tasks'!$A$2:$A$224,0)),"BAD ID"))</x:f>
        <x:v>0</x:v>
      </x:c>
      <x:c r="V217" s="14" t="n">
        <x:f>IF(N217="",0,IF(COUNTIFS('Tasks'!$A$2:$A$224,N217)=1,INDEX('Tasks'!$M$2:$M$224,MATCH(N217,'Tasks'!$A$2:$A$224,0)),"BAD ID"))</x:f>
        <x:v>0</x:v>
      </x:c>
      <x:c r="W217" s="14" t="n">
        <x:f>IF(O217="",0,IF(COUNTIFS('Tasks'!$A$2:$A$224,O217)=1,INDEX('Tasks'!$M$2:$M$224,MATCH(O217,'Tasks'!$A$2:$A$224,0)),"BAD ID"))</x:f>
        <x:v>0</x:v>
      </x:c>
    </x:row>
    <x:row r="218" ht="28" customHeight="1">
      <x:c r="A218" s="2" t="str">
        <x:v>IND-SAV-SPARK</x:v>
      </x:c>
      <x:c r="B218" s="2" t="str">
        <x:f>IF(VLOOKUP(A218,'Tasks'!$A$2:$X$224,15,FALSE)="","",VLOOKUP(A218,'Tasks'!$A$2:$X$224,15,FALSE))</x:f>
      </x:c>
      <x:c r="C218" s="13" t="n">
        <x:f>VLOOKUP(A218,'Tasks'!$A$2:$X$224,12,FALSE)</x:f>
        <x:v>46326</x:v>
      </x:c>
      <x:c r="D218" s="2" t="n">
        <x:f>IF(B218="",0,LEN(B218)-LEN(SUBSTITUTE(B218,",",""))+1)</x:f>
        <x:v>0</x:v>
      </x:c>
      <x:c r="E218" s="14" t="n">
        <x:f>MAX(P218:W218)</x:f>
        <x:v>0</x:v>
      </x:c>
      <x:c r="F218" s="2" t="n">
        <x:f>COUNTIFS(P218:W218,"BAD ID")</x:f>
        <x:v>0</x:v>
      </x:c>
      <x:c r="G218" s="2" t="str">
        <x:f>IF(D218&gt;8,"TOO MANY",IF(F218&gt;0,"BAD ID",IF(C218&gt;=E218,"OK","LATE")))</x:f>
        <x:v>OK</x:v>
      </x:c>
      <x:c r="H218" s="2" t="str">
        <x:f>TRIM(MID(SUBSTITUTE($B218,",",REPT(" ",100)),1,100))</x:f>
      </x:c>
      <x:c r="I218" s="2" t="str">
        <x:f>TRIM(MID(SUBSTITUTE($B218,",",REPT(" ",100)),101,100))</x:f>
      </x:c>
      <x:c r="J218" s="2" t="str">
        <x:f>TRIM(MID(SUBSTITUTE($B218,",",REPT(" ",100)),201,100))</x:f>
      </x:c>
      <x:c r="K218" s="2" t="str">
        <x:f>TRIM(MID(SUBSTITUTE($B218,",",REPT(" ",100)),301,100))</x:f>
      </x:c>
      <x:c r="L218" s="2" t="str">
        <x:f>TRIM(MID(SUBSTITUTE($B218,",",REPT(" ",100)),401,100))</x:f>
      </x:c>
      <x:c r="M218" s="2" t="str">
        <x:f>TRIM(MID(SUBSTITUTE($B218,",",REPT(" ",100)),501,100))</x:f>
      </x:c>
      <x:c r="N218" s="2" t="str">
        <x:f>TRIM(MID(SUBSTITUTE($B218,",",REPT(" ",100)),601,100))</x:f>
      </x:c>
      <x:c r="O218" s="2" t="str">
        <x:f>TRIM(MID(SUBSTITUTE($B218,",",REPT(" ",100)),701,100))</x:f>
      </x:c>
      <x:c r="P218" s="14" t="n">
        <x:f>IF(H218="",0,IF(COUNTIFS('Tasks'!$A$2:$A$224,H218)=1,INDEX('Tasks'!$M$2:$M$224,MATCH(H218,'Tasks'!$A$2:$A$224,0)),"BAD ID"))</x:f>
        <x:v>0</x:v>
      </x:c>
      <x:c r="Q218" s="14" t="n">
        <x:f>IF(I218="",0,IF(COUNTIFS('Tasks'!$A$2:$A$224,I218)=1,INDEX('Tasks'!$M$2:$M$224,MATCH(I218,'Tasks'!$A$2:$A$224,0)),"BAD ID"))</x:f>
        <x:v>0</x:v>
      </x:c>
      <x:c r="R218" s="14" t="n">
        <x:f>IF(J218="",0,IF(COUNTIFS('Tasks'!$A$2:$A$224,J218)=1,INDEX('Tasks'!$M$2:$M$224,MATCH(J218,'Tasks'!$A$2:$A$224,0)),"BAD ID"))</x:f>
        <x:v>0</x:v>
      </x:c>
      <x:c r="S218" s="14" t="n">
        <x:f>IF(K218="",0,IF(COUNTIFS('Tasks'!$A$2:$A$224,K218)=1,INDEX('Tasks'!$M$2:$M$224,MATCH(K218,'Tasks'!$A$2:$A$224,0)),"BAD ID"))</x:f>
        <x:v>0</x:v>
      </x:c>
      <x:c r="T218" s="14" t="n">
        <x:f>IF(L218="",0,IF(COUNTIFS('Tasks'!$A$2:$A$224,L218)=1,INDEX('Tasks'!$M$2:$M$224,MATCH(L218,'Tasks'!$A$2:$A$224,0)),"BAD ID"))</x:f>
        <x:v>0</x:v>
      </x:c>
      <x:c r="U218" s="14" t="n">
        <x:f>IF(M218="",0,IF(COUNTIFS('Tasks'!$A$2:$A$224,M218)=1,INDEX('Tasks'!$M$2:$M$224,MATCH(M218,'Tasks'!$A$2:$A$224,0)),"BAD ID"))</x:f>
        <x:v>0</x:v>
      </x:c>
      <x:c r="V218" s="14" t="n">
        <x:f>IF(N218="",0,IF(COUNTIFS('Tasks'!$A$2:$A$224,N218)=1,INDEX('Tasks'!$M$2:$M$224,MATCH(N218,'Tasks'!$A$2:$A$224,0)),"BAD ID"))</x:f>
        <x:v>0</x:v>
      </x:c>
      <x:c r="W218" s="14" t="n">
        <x:f>IF(O218="",0,IF(COUNTIFS('Tasks'!$A$2:$A$224,O218)=1,INDEX('Tasks'!$M$2:$M$224,MATCH(O218,'Tasks'!$A$2:$A$224,0)),"BAD ID"))</x:f>
        <x:v>0</x:v>
      </x:c>
    </x:row>
    <x:row r="219" ht="28" customHeight="1">
      <x:c r="A219" s="2" t="str">
        <x:v>DEMO-SAV-R1</x:v>
      </x:c>
      <x:c r="B219" s="2" t="str">
        <x:f>IF(VLOOKUP(A219,'Tasks'!$A$2:$X$224,15,FALSE)="","",VLOOKUP(A219,'Tasks'!$A$2:$X$224,15,FALSE))</x:f>
        <x:v>DEMO-02</x:v>
      </x:c>
      <x:c r="C219" s="13" t="n">
        <x:f>VLOOKUP(A219,'Tasks'!$A$2:$X$224,12,FALSE)</x:f>
        <x:v>46325</x:v>
      </x:c>
      <x:c r="D219" s="2" t="n">
        <x:f>IF(B219="",0,LEN(B219)-LEN(SUBSTITUTE(B219,",",""))+1)</x:f>
        <x:v>1</x:v>
      </x:c>
      <x:c r="E219" s="14" t="n">
        <x:f>MAX(P219:W219)</x:f>
        <x:v>46324</x:v>
      </x:c>
      <x:c r="F219" s="2" t="n">
        <x:f>COUNTIFS(P219:W219,"BAD ID")</x:f>
        <x:v>0</x:v>
      </x:c>
      <x:c r="G219" s="2" t="str">
        <x:f>IF(D219&gt;8,"TOO MANY",IF(F219&gt;0,"BAD ID",IF(C219&gt;=E219,"OK","LATE")))</x:f>
        <x:v>OK</x:v>
      </x:c>
      <x:c r="H219" s="2" t="str">
        <x:f>TRIM(MID(SUBSTITUTE($B219,",",REPT(" ",100)),1,100))</x:f>
        <x:v>DEMO-02</x:v>
      </x:c>
      <x:c r="I219" s="2" t="str">
        <x:f>TRIM(MID(SUBSTITUTE($B219,",",REPT(" ",100)),101,100))</x:f>
      </x:c>
      <x:c r="J219" s="2" t="str">
        <x:f>TRIM(MID(SUBSTITUTE($B219,",",REPT(" ",100)),201,100))</x:f>
      </x:c>
      <x:c r="K219" s="2" t="str">
        <x:f>TRIM(MID(SUBSTITUTE($B219,",",REPT(" ",100)),301,100))</x:f>
      </x:c>
      <x:c r="L219" s="2" t="str">
        <x:f>TRIM(MID(SUBSTITUTE($B219,",",REPT(" ",100)),401,100))</x:f>
      </x:c>
      <x:c r="M219" s="2" t="str">
        <x:f>TRIM(MID(SUBSTITUTE($B219,",",REPT(" ",100)),501,100))</x:f>
      </x:c>
      <x:c r="N219" s="2" t="str">
        <x:f>TRIM(MID(SUBSTITUTE($B219,",",REPT(" ",100)),601,100))</x:f>
      </x:c>
      <x:c r="O219" s="2" t="str">
        <x:f>TRIM(MID(SUBSTITUTE($B219,",",REPT(" ",100)),701,100))</x:f>
      </x:c>
      <x:c r="P219" s="14" t="n">
        <x:f>IF(H219="",0,IF(COUNTIFS('Tasks'!$A$2:$A$224,H219)=1,INDEX('Tasks'!$M$2:$M$224,MATCH(H219,'Tasks'!$A$2:$A$224,0)),"BAD ID"))</x:f>
        <x:v>46324</x:v>
      </x:c>
      <x:c r="Q219" s="14" t="n">
        <x:f>IF(I219="",0,IF(COUNTIFS('Tasks'!$A$2:$A$224,I219)=1,INDEX('Tasks'!$M$2:$M$224,MATCH(I219,'Tasks'!$A$2:$A$224,0)),"BAD ID"))</x:f>
        <x:v>0</x:v>
      </x:c>
      <x:c r="R219" s="14" t="n">
        <x:f>IF(J219="",0,IF(COUNTIFS('Tasks'!$A$2:$A$224,J219)=1,INDEX('Tasks'!$M$2:$M$224,MATCH(J219,'Tasks'!$A$2:$A$224,0)),"BAD ID"))</x:f>
        <x:v>0</x:v>
      </x:c>
      <x:c r="S219" s="14" t="n">
        <x:f>IF(K219="",0,IF(COUNTIFS('Tasks'!$A$2:$A$224,K219)=1,INDEX('Tasks'!$M$2:$M$224,MATCH(K219,'Tasks'!$A$2:$A$224,0)),"BAD ID"))</x:f>
        <x:v>0</x:v>
      </x:c>
      <x:c r="T219" s="14" t="n">
        <x:f>IF(L219="",0,IF(COUNTIFS('Tasks'!$A$2:$A$224,L219)=1,INDEX('Tasks'!$M$2:$M$224,MATCH(L219,'Tasks'!$A$2:$A$224,0)),"BAD ID"))</x:f>
        <x:v>0</x:v>
      </x:c>
      <x:c r="U219" s="14" t="n">
        <x:f>IF(M219="",0,IF(COUNTIFS('Tasks'!$A$2:$A$224,M219)=1,INDEX('Tasks'!$M$2:$M$224,MATCH(M219,'Tasks'!$A$2:$A$224,0)),"BAD ID"))</x:f>
        <x:v>0</x:v>
      </x:c>
      <x:c r="V219" s="14" t="n">
        <x:f>IF(N219="",0,IF(COUNTIFS('Tasks'!$A$2:$A$224,N219)=1,INDEX('Tasks'!$M$2:$M$224,MATCH(N219,'Tasks'!$A$2:$A$224,0)),"BAD ID"))</x:f>
        <x:v>0</x:v>
      </x:c>
      <x:c r="W219" s="14" t="n">
        <x:f>IF(O219="",0,IF(COUNTIFS('Tasks'!$A$2:$A$224,O219)=1,INDEX('Tasks'!$M$2:$M$224,MATCH(O219,'Tasks'!$A$2:$A$224,0)),"BAD ID"))</x:f>
        <x:v>0</x:v>
      </x:c>
    </x:row>
    <x:row r="220" ht="28" customHeight="1">
      <x:c r="A220" s="2" t="str">
        <x:v>DEMO-SAV-R2</x:v>
      </x:c>
      <x:c r="B220" s="2" t="str">
        <x:f>IF(VLOOKUP(A220,'Tasks'!$A$2:$X$224,15,FALSE)="","",VLOOKUP(A220,'Tasks'!$A$2:$X$224,15,FALSE))</x:f>
        <x:v>DEMO-03</x:v>
      </x:c>
      <x:c r="C220" s="13" t="n">
        <x:f>VLOOKUP(A220,'Tasks'!$A$2:$X$224,12,FALSE)</x:f>
        <x:v>46326</x:v>
      </x:c>
      <x:c r="D220" s="2" t="n">
        <x:f>IF(B220="",0,LEN(B220)-LEN(SUBSTITUTE(B220,",",""))+1)</x:f>
        <x:v>1</x:v>
      </x:c>
      <x:c r="E220" s="14" t="n">
        <x:f>MAX(P220:W220)</x:f>
        <x:v>46325</x:v>
      </x:c>
      <x:c r="F220" s="2" t="n">
        <x:f>COUNTIFS(P220:W220,"BAD ID")</x:f>
        <x:v>0</x:v>
      </x:c>
      <x:c r="G220" s="2" t="str">
        <x:f>IF(D220&gt;8,"TOO MANY",IF(F220&gt;0,"BAD ID",IF(C220&gt;=E220,"OK","LATE")))</x:f>
        <x:v>OK</x:v>
      </x:c>
      <x:c r="H220" s="2" t="str">
        <x:f>TRIM(MID(SUBSTITUTE($B220,",",REPT(" ",100)),1,100))</x:f>
        <x:v>DEMO-03</x:v>
      </x:c>
      <x:c r="I220" s="2" t="str">
        <x:f>TRIM(MID(SUBSTITUTE($B220,",",REPT(" ",100)),101,100))</x:f>
      </x:c>
      <x:c r="J220" s="2" t="str">
        <x:f>TRIM(MID(SUBSTITUTE($B220,",",REPT(" ",100)),201,100))</x:f>
      </x:c>
      <x:c r="K220" s="2" t="str">
        <x:f>TRIM(MID(SUBSTITUTE($B220,",",REPT(" ",100)),301,100))</x:f>
      </x:c>
      <x:c r="L220" s="2" t="str">
        <x:f>TRIM(MID(SUBSTITUTE($B220,",",REPT(" ",100)),401,100))</x:f>
      </x:c>
      <x:c r="M220" s="2" t="str">
        <x:f>TRIM(MID(SUBSTITUTE($B220,",",REPT(" ",100)),501,100))</x:f>
      </x:c>
      <x:c r="N220" s="2" t="str">
        <x:f>TRIM(MID(SUBSTITUTE($B220,",",REPT(" ",100)),601,100))</x:f>
      </x:c>
      <x:c r="O220" s="2" t="str">
        <x:f>TRIM(MID(SUBSTITUTE($B220,",",REPT(" ",100)),701,100))</x:f>
      </x:c>
      <x:c r="P220" s="14" t="n">
        <x:f>IF(H220="",0,IF(COUNTIFS('Tasks'!$A$2:$A$224,H220)=1,INDEX('Tasks'!$M$2:$M$224,MATCH(H220,'Tasks'!$A$2:$A$224,0)),"BAD ID"))</x:f>
        <x:v>46325</x:v>
      </x:c>
      <x:c r="Q220" s="14" t="n">
        <x:f>IF(I220="",0,IF(COUNTIFS('Tasks'!$A$2:$A$224,I220)=1,INDEX('Tasks'!$M$2:$M$224,MATCH(I220,'Tasks'!$A$2:$A$224,0)),"BAD ID"))</x:f>
        <x:v>0</x:v>
      </x:c>
      <x:c r="R220" s="14" t="n">
        <x:f>IF(J220="",0,IF(COUNTIFS('Tasks'!$A$2:$A$224,J220)=1,INDEX('Tasks'!$M$2:$M$224,MATCH(J220,'Tasks'!$A$2:$A$224,0)),"BAD ID"))</x:f>
        <x:v>0</x:v>
      </x:c>
      <x:c r="S220" s="14" t="n">
        <x:f>IF(K220="",0,IF(COUNTIFS('Tasks'!$A$2:$A$224,K220)=1,INDEX('Tasks'!$M$2:$M$224,MATCH(K220,'Tasks'!$A$2:$A$224,0)),"BAD ID"))</x:f>
        <x:v>0</x:v>
      </x:c>
      <x:c r="T220" s="14" t="n">
        <x:f>IF(L220="",0,IF(COUNTIFS('Tasks'!$A$2:$A$224,L220)=1,INDEX('Tasks'!$M$2:$M$224,MATCH(L220,'Tasks'!$A$2:$A$224,0)),"BAD ID"))</x:f>
        <x:v>0</x:v>
      </x:c>
      <x:c r="U220" s="14" t="n">
        <x:f>IF(M220="",0,IF(COUNTIFS('Tasks'!$A$2:$A$224,M220)=1,INDEX('Tasks'!$M$2:$M$224,MATCH(M220,'Tasks'!$A$2:$A$224,0)),"BAD ID"))</x:f>
        <x:v>0</x:v>
      </x:c>
      <x:c r="V220" s="14" t="n">
        <x:f>IF(N220="",0,IF(COUNTIFS('Tasks'!$A$2:$A$224,N220)=1,INDEX('Tasks'!$M$2:$M$224,MATCH(N220,'Tasks'!$A$2:$A$224,0)),"BAD ID"))</x:f>
        <x:v>0</x:v>
      </x:c>
      <x:c r="W220" s="14" t="n">
        <x:f>IF(O220="",0,IF(COUNTIFS('Tasks'!$A$2:$A$224,O220)=1,INDEX('Tasks'!$M$2:$M$224,MATCH(O220,'Tasks'!$A$2:$A$224,0)),"BAD ID"))</x:f>
        <x:v>0</x:v>
      </x:c>
    </x:row>
    <x:row r="221" ht="28" customHeight="1">
      <x:c r="A221" s="2" t="str">
        <x:v>DOC-17</x:v>
      </x:c>
      <x:c r="B221" s="2" t="str">
        <x:f>IF(VLOOKUP(A221,'Tasks'!$A$2:$X$224,15,FALSE)="","",VLOOKUP(A221,'Tasks'!$A$2:$X$224,15,FALSE))</x:f>
        <x:v>DOC-05,TEST-09</x:v>
      </x:c>
      <x:c r="C221" s="13" t="n">
        <x:f>VLOOKUP(A221,'Tasks'!$A$2:$X$224,12,FALSE)</x:f>
        <x:v>46323</x:v>
      </x:c>
      <x:c r="D221" s="2" t="n">
        <x:f>IF(B221="",0,LEN(B221)-LEN(SUBSTITUTE(B221,",",""))+1)</x:f>
        <x:v>2</x:v>
      </x:c>
      <x:c r="E221" s="14" t="n">
        <x:f>MAX(P221:W221)</x:f>
        <x:v>46320</x:v>
      </x:c>
      <x:c r="F221" s="2" t="n">
        <x:f>COUNTIFS(P221:W221,"BAD ID")</x:f>
        <x:v>0</x:v>
      </x:c>
      <x:c r="G221" s="2" t="str">
        <x:f>IF(D221&gt;8,"TOO MANY",IF(F221&gt;0,"BAD ID",IF(C221&gt;=E221,"OK","LATE")))</x:f>
        <x:v>OK</x:v>
      </x:c>
      <x:c r="H221" s="2" t="str">
        <x:f>TRIM(MID(SUBSTITUTE($B221,",",REPT(" ",100)),1,100))</x:f>
        <x:v>DOC-05</x:v>
      </x:c>
      <x:c r="I221" s="2" t="str">
        <x:f>TRIM(MID(SUBSTITUTE($B221,",",REPT(" ",100)),101,100))</x:f>
        <x:v>TEST-09</x:v>
      </x:c>
      <x:c r="J221" s="2" t="str">
        <x:f>TRIM(MID(SUBSTITUTE($B221,",",REPT(" ",100)),201,100))</x:f>
      </x:c>
      <x:c r="K221" s="2" t="str">
        <x:f>TRIM(MID(SUBSTITUTE($B221,",",REPT(" ",100)),301,100))</x:f>
      </x:c>
      <x:c r="L221" s="2" t="str">
        <x:f>TRIM(MID(SUBSTITUTE($B221,",",REPT(" ",100)),401,100))</x:f>
      </x:c>
      <x:c r="M221" s="2" t="str">
        <x:f>TRIM(MID(SUBSTITUTE($B221,",",REPT(" ",100)),501,100))</x:f>
      </x:c>
      <x:c r="N221" s="2" t="str">
        <x:f>TRIM(MID(SUBSTITUTE($B221,",",REPT(" ",100)),601,100))</x:f>
      </x:c>
      <x:c r="O221" s="2" t="str">
        <x:f>TRIM(MID(SUBSTITUTE($B221,",",REPT(" ",100)),701,100))</x:f>
      </x:c>
      <x:c r="P221" s="14" t="n">
        <x:f>IF(H221="",0,IF(COUNTIFS('Tasks'!$A$2:$A$224,H221)=1,INDEX('Tasks'!$M$2:$M$224,MATCH(H221,'Tasks'!$A$2:$A$224,0)),"BAD ID"))</x:f>
        <x:v>46320</x:v>
      </x:c>
      <x:c r="Q221" s="14" t="n">
        <x:f>IF(I221="",0,IF(COUNTIFS('Tasks'!$A$2:$A$224,I221)=1,INDEX('Tasks'!$M$2:$M$224,MATCH(I221,'Tasks'!$A$2:$A$224,0)),"BAD ID"))</x:f>
        <x:v>46319</x:v>
      </x:c>
      <x:c r="R221" s="14" t="n">
        <x:f>IF(J221="",0,IF(COUNTIFS('Tasks'!$A$2:$A$224,J221)=1,INDEX('Tasks'!$M$2:$M$224,MATCH(J221,'Tasks'!$A$2:$A$224,0)),"BAD ID"))</x:f>
        <x:v>0</x:v>
      </x:c>
      <x:c r="S221" s="14" t="n">
        <x:f>IF(K221="",0,IF(COUNTIFS('Tasks'!$A$2:$A$224,K221)=1,INDEX('Tasks'!$M$2:$M$224,MATCH(K221,'Tasks'!$A$2:$A$224,0)),"BAD ID"))</x:f>
        <x:v>0</x:v>
      </x:c>
      <x:c r="T221" s="14" t="n">
        <x:f>IF(L221="",0,IF(COUNTIFS('Tasks'!$A$2:$A$224,L221)=1,INDEX('Tasks'!$M$2:$M$224,MATCH(L221,'Tasks'!$A$2:$A$224,0)),"BAD ID"))</x:f>
        <x:v>0</x:v>
      </x:c>
      <x:c r="U221" s="14" t="n">
        <x:f>IF(M221="",0,IF(COUNTIFS('Tasks'!$A$2:$A$224,M221)=1,INDEX('Tasks'!$M$2:$M$224,MATCH(M221,'Tasks'!$A$2:$A$224,0)),"BAD ID"))</x:f>
        <x:v>0</x:v>
      </x:c>
      <x:c r="V221" s="14" t="n">
        <x:f>IF(N221="",0,IF(COUNTIFS('Tasks'!$A$2:$A$224,N221)=1,INDEX('Tasks'!$M$2:$M$224,MATCH(N221,'Tasks'!$A$2:$A$224,0)),"BAD ID"))</x:f>
        <x:v>0</x:v>
      </x:c>
      <x:c r="W221" s="14" t="n">
        <x:f>IF(O221="",0,IF(COUNTIFS('Tasks'!$A$2:$A$224,O221)=1,INDEX('Tasks'!$M$2:$M$224,MATCH(O221,'Tasks'!$A$2:$A$224,0)),"BAD ID"))</x:f>
        <x:v>0</x:v>
      </x:c>
    </x:row>
    <x:row r="222" ht="28" customHeight="1">
      <x:c r="A222" s="2" t="str">
        <x:v>DOC-18</x:v>
      </x:c>
      <x:c r="B222" s="2" t="str">
        <x:f>IF(VLOOKUP(A222,'Tasks'!$A$2:$X$224,15,FALSE)="","",VLOOKUP(A222,'Tasks'!$A$2:$X$224,15,FALSE))</x:f>
        <x:v>DOC-10,DEMO-02</x:v>
      </x:c>
      <x:c r="C222" s="13" t="n">
        <x:f>VLOOKUP(A222,'Tasks'!$A$2:$X$224,12,FALSE)</x:f>
        <x:v>46326</x:v>
      </x:c>
      <x:c r="D222" s="2" t="n">
        <x:f>IF(B222="",0,LEN(B222)-LEN(SUBSTITUTE(B222,",",""))+1)</x:f>
        <x:v>2</x:v>
      </x:c>
      <x:c r="E222" s="14" t="n">
        <x:f>MAX(P222:W222)</x:f>
        <x:v>46325</x:v>
      </x:c>
      <x:c r="F222" s="2" t="n">
        <x:f>COUNTIFS(P222:W222,"BAD ID")</x:f>
        <x:v>0</x:v>
      </x:c>
      <x:c r="G222" s="2" t="str">
        <x:f>IF(D222&gt;8,"TOO MANY",IF(F222&gt;0,"BAD ID",IF(C222&gt;=E222,"OK","LATE")))</x:f>
        <x:v>OK</x:v>
      </x:c>
      <x:c r="H222" s="2" t="str">
        <x:f>TRIM(MID(SUBSTITUTE($B222,",",REPT(" ",100)),1,100))</x:f>
        <x:v>DOC-10</x:v>
      </x:c>
      <x:c r="I222" s="2" t="str">
        <x:f>TRIM(MID(SUBSTITUTE($B222,",",REPT(" ",100)),101,100))</x:f>
        <x:v>DEMO-02</x:v>
      </x:c>
      <x:c r="J222" s="2" t="str">
        <x:f>TRIM(MID(SUBSTITUTE($B222,",",REPT(" ",100)),201,100))</x:f>
      </x:c>
      <x:c r="K222" s="2" t="str">
        <x:f>TRIM(MID(SUBSTITUTE($B222,",",REPT(" ",100)),301,100))</x:f>
      </x:c>
      <x:c r="L222" s="2" t="str">
        <x:f>TRIM(MID(SUBSTITUTE($B222,",",REPT(" ",100)),401,100))</x:f>
      </x:c>
      <x:c r="M222" s="2" t="str">
        <x:f>TRIM(MID(SUBSTITUTE($B222,",",REPT(" ",100)),501,100))</x:f>
      </x:c>
      <x:c r="N222" s="2" t="str">
        <x:f>TRIM(MID(SUBSTITUTE($B222,",",REPT(" ",100)),601,100))</x:f>
      </x:c>
      <x:c r="O222" s="2" t="str">
        <x:f>TRIM(MID(SUBSTITUTE($B222,",",REPT(" ",100)),701,100))</x:f>
      </x:c>
      <x:c r="P222" s="14" t="n">
        <x:f>IF(H222="",0,IF(COUNTIFS('Tasks'!$A$2:$A$224,H222)=1,INDEX('Tasks'!$M$2:$M$224,MATCH(H222,'Tasks'!$A$2:$A$224,0)),"BAD ID"))</x:f>
        <x:v>46325</x:v>
      </x:c>
      <x:c r="Q222" s="14" t="n">
        <x:f>IF(I222="",0,IF(COUNTIFS('Tasks'!$A$2:$A$224,I222)=1,INDEX('Tasks'!$M$2:$M$224,MATCH(I222,'Tasks'!$A$2:$A$224,0)),"BAD ID"))</x:f>
        <x:v>46324</x:v>
      </x:c>
      <x:c r="R222" s="14" t="n">
        <x:f>IF(J222="",0,IF(COUNTIFS('Tasks'!$A$2:$A$224,J222)=1,INDEX('Tasks'!$M$2:$M$224,MATCH(J222,'Tasks'!$A$2:$A$224,0)),"BAD ID"))</x:f>
        <x:v>0</x:v>
      </x:c>
      <x:c r="S222" s="14" t="n">
        <x:f>IF(K222="",0,IF(COUNTIFS('Tasks'!$A$2:$A$224,K222)=1,INDEX('Tasks'!$M$2:$M$224,MATCH(K222,'Tasks'!$A$2:$A$224,0)),"BAD ID"))</x:f>
        <x:v>0</x:v>
      </x:c>
      <x:c r="T222" s="14" t="n">
        <x:f>IF(L222="",0,IF(COUNTIFS('Tasks'!$A$2:$A$224,L222)=1,INDEX('Tasks'!$M$2:$M$224,MATCH(L222,'Tasks'!$A$2:$A$224,0)),"BAD ID"))</x:f>
        <x:v>0</x:v>
      </x:c>
      <x:c r="U222" s="14" t="n">
        <x:f>IF(M222="",0,IF(COUNTIFS('Tasks'!$A$2:$A$224,M222)=1,INDEX('Tasks'!$M$2:$M$224,MATCH(M222,'Tasks'!$A$2:$A$224,0)),"BAD ID"))</x:f>
        <x:v>0</x:v>
      </x:c>
      <x:c r="V222" s="14" t="n">
        <x:f>IF(N222="",0,IF(COUNTIFS('Tasks'!$A$2:$A$224,N222)=1,INDEX('Tasks'!$M$2:$M$224,MATCH(N222,'Tasks'!$A$2:$A$224,0)),"BAD ID"))</x:f>
        <x:v>0</x:v>
      </x:c>
      <x:c r="W222" s="14" t="n">
        <x:f>IF(O222="",0,IF(COUNTIFS('Tasks'!$A$2:$A$224,O222)=1,INDEX('Tasks'!$M$2:$M$224,MATCH(O222,'Tasks'!$A$2:$A$224,0)),"BAD ID"))</x:f>
        <x:v>0</x:v>
      </x:c>
    </x:row>
    <x:row r="223" ht="28" customHeight="1">
      <x:c r="A223" s="2" t="str">
        <x:v>TEST-22</x:v>
      </x:c>
      <x:c r="B223" s="2" t="str">
        <x:f>IF(VLOOKUP(A223,'Tasks'!$A$2:$X$224,15,FALSE)="","",VLOOKUP(A223,'Tasks'!$A$2:$X$224,15,FALSE))</x:f>
        <x:v>TEST-10,TEST-17</x:v>
      </x:c>
      <x:c r="C223" s="13" t="n">
        <x:f>VLOOKUP(A223,'Tasks'!$A$2:$X$224,12,FALSE)</x:f>
        <x:v>46320</x:v>
      </x:c>
      <x:c r="D223" s="2" t="n">
        <x:f>IF(B223="",0,LEN(B223)-LEN(SUBSTITUTE(B223,",",""))+1)</x:f>
        <x:v>2</x:v>
      </x:c>
      <x:c r="E223" s="14" t="n">
        <x:f>MAX(P223:W223)</x:f>
        <x:v>46320</x:v>
      </x:c>
      <x:c r="F223" s="2" t="n">
        <x:f>COUNTIFS(P223:W223,"BAD ID")</x:f>
        <x:v>0</x:v>
      </x:c>
      <x:c r="G223" s="2" t="str">
        <x:f>IF(D223&gt;8,"TOO MANY",IF(F223&gt;0,"BAD ID",IF(C223&gt;=E223,"OK","LATE")))</x:f>
        <x:v>OK</x:v>
      </x:c>
      <x:c r="H223" s="2" t="str">
        <x:f>TRIM(MID(SUBSTITUTE($B223,",",REPT(" ",100)),1,100))</x:f>
        <x:v>TEST-10</x:v>
      </x:c>
      <x:c r="I223" s="2" t="str">
        <x:f>TRIM(MID(SUBSTITUTE($B223,",",REPT(" ",100)),101,100))</x:f>
        <x:v>TEST-17</x:v>
      </x:c>
      <x:c r="J223" s="2" t="str">
        <x:f>TRIM(MID(SUBSTITUTE($B223,",",REPT(" ",100)),201,100))</x:f>
      </x:c>
      <x:c r="K223" s="2" t="str">
        <x:f>TRIM(MID(SUBSTITUTE($B223,",",REPT(" ",100)),301,100))</x:f>
      </x:c>
      <x:c r="L223" s="2" t="str">
        <x:f>TRIM(MID(SUBSTITUTE($B223,",",REPT(" ",100)),401,100))</x:f>
      </x:c>
      <x:c r="M223" s="2" t="str">
        <x:f>TRIM(MID(SUBSTITUTE($B223,",",REPT(" ",100)),501,100))</x:f>
      </x:c>
      <x:c r="N223" s="2" t="str">
        <x:f>TRIM(MID(SUBSTITUTE($B223,",",REPT(" ",100)),601,100))</x:f>
      </x:c>
      <x:c r="O223" s="2" t="str">
        <x:f>TRIM(MID(SUBSTITUTE($B223,",",REPT(" ",100)),701,100))</x:f>
      </x:c>
      <x:c r="P223" s="14" t="n">
        <x:f>IF(H223="",0,IF(COUNTIFS('Tasks'!$A$2:$A$224,H223)=1,INDEX('Tasks'!$M$2:$M$224,MATCH(H223,'Tasks'!$A$2:$A$224,0)),"BAD ID"))</x:f>
        <x:v>46319</x:v>
      </x:c>
      <x:c r="Q223" s="14" t="n">
        <x:f>IF(I223="",0,IF(COUNTIFS('Tasks'!$A$2:$A$224,I223)=1,INDEX('Tasks'!$M$2:$M$224,MATCH(I223,'Tasks'!$A$2:$A$224,0)),"BAD ID"))</x:f>
        <x:v>46320</x:v>
      </x:c>
      <x:c r="R223" s="14" t="n">
        <x:f>IF(J223="",0,IF(COUNTIFS('Tasks'!$A$2:$A$224,J223)=1,INDEX('Tasks'!$M$2:$M$224,MATCH(J223,'Tasks'!$A$2:$A$224,0)),"BAD ID"))</x:f>
        <x:v>0</x:v>
      </x:c>
      <x:c r="S223" s="14" t="n">
        <x:f>IF(K223="",0,IF(COUNTIFS('Tasks'!$A$2:$A$224,K223)=1,INDEX('Tasks'!$M$2:$M$224,MATCH(K223,'Tasks'!$A$2:$A$224,0)),"BAD ID"))</x:f>
        <x:v>0</x:v>
      </x:c>
      <x:c r="T223" s="14" t="n">
        <x:f>IF(L223="",0,IF(COUNTIFS('Tasks'!$A$2:$A$224,L223)=1,INDEX('Tasks'!$M$2:$M$224,MATCH(L223,'Tasks'!$A$2:$A$224,0)),"BAD ID"))</x:f>
        <x:v>0</x:v>
      </x:c>
      <x:c r="U223" s="14" t="n">
        <x:f>IF(M223="",0,IF(COUNTIFS('Tasks'!$A$2:$A$224,M223)=1,INDEX('Tasks'!$M$2:$M$224,MATCH(M223,'Tasks'!$A$2:$A$224,0)),"BAD ID"))</x:f>
        <x:v>0</x:v>
      </x:c>
      <x:c r="V223" s="14" t="n">
        <x:f>IF(N223="",0,IF(COUNTIFS('Tasks'!$A$2:$A$224,N223)=1,INDEX('Tasks'!$M$2:$M$224,MATCH(N223,'Tasks'!$A$2:$A$224,0)),"BAD ID"))</x:f>
        <x:v>0</x:v>
      </x:c>
      <x:c r="W223" s="14" t="n">
        <x:f>IF(O223="",0,IF(COUNTIFS('Tasks'!$A$2:$A$224,O223)=1,INDEX('Tasks'!$M$2:$M$224,MATCH(O223,'Tasks'!$A$2:$A$224,0)),"BAD ID"))</x:f>
        <x:v>0</x:v>
      </x:c>
    </x:row>
    <x:row r="224" ht="28" customHeight="1">
      <x:c r="A224" s="2" t="str">
        <x:v>PROC-04</x:v>
      </x:c>
      <x:c r="B224" s="2" t="str">
        <x:f>IF(VLOOKUP(A224,'Tasks'!$A$2:$X$224,15,FALSE)="","",VLOOKUP(A224,'Tasks'!$A$2:$X$224,15,FALSE))</x:f>
        <x:v>G1-01,TEST-04</x:v>
      </x:c>
      <x:c r="C224" s="13" t="n">
        <x:f>VLOOKUP(A224,'Tasks'!$A$2:$X$224,12,FALSE)</x:f>
        <x:v>46320</x:v>
      </x:c>
      <x:c r="D224" s="2" t="n">
        <x:f>IF(B224="",0,LEN(B224)-LEN(SUBSTITUTE(B224,",",""))+1)</x:f>
        <x:v>2</x:v>
      </x:c>
      <x:c r="E224" s="14" t="n">
        <x:f>MAX(P224:W224)</x:f>
        <x:v>46318</x:v>
      </x:c>
      <x:c r="F224" s="2" t="n">
        <x:f>COUNTIFS(P224:W224,"BAD ID")</x:f>
        <x:v>0</x:v>
      </x:c>
      <x:c r="G224" s="2" t="str">
        <x:f>IF(D224&gt;8,"TOO MANY",IF(F224&gt;0,"BAD ID",IF(C224&gt;=E224,"OK","LATE")))</x:f>
        <x:v>OK</x:v>
      </x:c>
      <x:c r="H224" s="2" t="str">
        <x:f>TRIM(MID(SUBSTITUTE($B224,",",REPT(" ",100)),1,100))</x:f>
        <x:v>G1-01</x:v>
      </x:c>
      <x:c r="I224" s="2" t="str">
        <x:f>TRIM(MID(SUBSTITUTE($B224,",",REPT(" ",100)),101,100))</x:f>
        <x:v>TEST-04</x:v>
      </x:c>
      <x:c r="J224" s="2" t="str">
        <x:f>TRIM(MID(SUBSTITUTE($B224,",",REPT(" ",100)),201,100))</x:f>
      </x:c>
      <x:c r="K224" s="2" t="str">
        <x:f>TRIM(MID(SUBSTITUTE($B224,",",REPT(" ",100)),301,100))</x:f>
      </x:c>
      <x:c r="L224" s="2" t="str">
        <x:f>TRIM(MID(SUBSTITUTE($B224,",",REPT(" ",100)),401,100))</x:f>
      </x:c>
      <x:c r="M224" s="2" t="str">
        <x:f>TRIM(MID(SUBSTITUTE($B224,",",REPT(" ",100)),501,100))</x:f>
      </x:c>
      <x:c r="N224" s="2" t="str">
        <x:f>TRIM(MID(SUBSTITUTE($B224,",",REPT(" ",100)),601,100))</x:f>
      </x:c>
      <x:c r="O224" s="2" t="str">
        <x:f>TRIM(MID(SUBSTITUTE($B224,",",REPT(" ",100)),701,100))</x:f>
      </x:c>
      <x:c r="P224" s="14" t="n">
        <x:f>IF(H224="",0,IF(COUNTIFS('Tasks'!$A$2:$A$224,H224)=1,INDEX('Tasks'!$M$2:$M$224,MATCH(H224,'Tasks'!$A$2:$A$224,0)),"BAD ID"))</x:f>
        <x:v>46313</x:v>
      </x:c>
      <x:c r="Q224" s="14" t="n">
        <x:f>IF(I224="",0,IF(COUNTIFS('Tasks'!$A$2:$A$224,I224)=1,INDEX('Tasks'!$M$2:$M$224,MATCH(I224,'Tasks'!$A$2:$A$224,0)),"BAD ID"))</x:f>
        <x:v>46318</x:v>
      </x:c>
      <x:c r="R224" s="14" t="n">
        <x:f>IF(J224="",0,IF(COUNTIFS('Tasks'!$A$2:$A$224,J224)=1,INDEX('Tasks'!$M$2:$M$224,MATCH(J224,'Tasks'!$A$2:$A$224,0)),"BAD ID"))</x:f>
        <x:v>0</x:v>
      </x:c>
      <x:c r="S224" s="14" t="n">
        <x:f>IF(K224="",0,IF(COUNTIFS('Tasks'!$A$2:$A$224,K224)=1,INDEX('Tasks'!$M$2:$M$224,MATCH(K224,'Tasks'!$A$2:$A$224,0)),"BAD ID"))</x:f>
        <x:v>0</x:v>
      </x:c>
      <x:c r="T224" s="14" t="n">
        <x:f>IF(L224="",0,IF(COUNTIFS('Tasks'!$A$2:$A$224,L224)=1,INDEX('Tasks'!$M$2:$M$224,MATCH(L224,'Tasks'!$A$2:$A$224,0)),"BAD ID"))</x:f>
        <x:v>0</x:v>
      </x:c>
      <x:c r="U224" s="14" t="n">
        <x:f>IF(M224="",0,IF(COUNTIFS('Tasks'!$A$2:$A$224,M224)=1,INDEX('Tasks'!$M$2:$M$224,MATCH(M224,'Tasks'!$A$2:$A$224,0)),"BAD ID"))</x:f>
        <x:v>0</x:v>
      </x:c>
      <x:c r="V224" s="14" t="n">
        <x:f>IF(N224="",0,IF(COUNTIFS('Tasks'!$A$2:$A$224,N224)=1,INDEX('Tasks'!$M$2:$M$224,MATCH(N224,'Tasks'!$A$2:$A$224,0)),"BAD ID"))</x:f>
        <x:v>0</x:v>
      </x:c>
      <x:c r="W224" s="14" t="n">
        <x:f>IF(O224="",0,IF(COUNTIFS('Tasks'!$A$2:$A$224,O224)=1,INDEX('Tasks'!$M$2:$M$224,MATCH(O224,'Tasks'!$A$2:$A$224,0)),"BAD ID"))</x:f>
        <x:v>0</x:v>
      </x:c>
    </x:row>
  </x:sheetData>
  <x:conditionalFormatting sqref="G2:G224">
    <x:cfRule type="expression" dxfId="3" priority="1">
      <x:formula>$G2&lt;&gt;"OK"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b9ffe40b880487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16" hidden="0" customWidth="1"/>
    <x:col min="3" max="3" width="32" hidden="0" customWidth="1"/>
  </x:cols>
  <x:sheetData>
    <x:row r="1" ht="32" customHeight="1">
      <x:c r="A1" s="6" t="str">
        <x:v>GROUP 7</x:v>
      </x:c>
      <x:c r="B1" s="6" t="str">
        <x:v>Three-week task board</x:v>
      </x:c>
      <x:c r="C1" s="6" t="str">
        <x:v>12 Oct–1 Nov 2026</x:v>
      </x:c>
    </x:row>
    <x:row r="2" ht="28" customHeight="1">
      <x:c r="A2" s="2"/>
      <x:c r="B2" s="2"/>
      <x:c r="C2" s="2"/>
    </x:row>
    <x:row r="3" ht="28" customHeight="1">
      <x:c r="A3" s="2" t="str">
        <x:v>Project start</x:v>
      </x:c>
      <x:c r="B3" s="29" t="n">
        <x:v>46307</x:v>
      </x:c>
      <x:c r="C3" s="2"/>
    </x:row>
    <x:row r="4" ht="28" customHeight="1">
      <x:c r="A4" s="2" t="str">
        <x:v>Internal readiness date</x:v>
      </x:c>
      <x:c r="B4" s="29" t="n">
        <x:v>46326</x:v>
      </x:c>
      <x:c r="C4" s="2"/>
    </x:row>
    <x:row r="5" ht="28" customHeight="1">
      <x:c r="A5" s="2"/>
      <x:c r="B5" s="2"/>
      <x:c r="C5" s="2"/>
    </x:row>
    <x:row r="6" ht="47" customHeight="1">
      <x:c r="A6" s="7" t="str">
        <x:v>1. Confirm inputs</x:v>
      </x:c>
      <x:c r="B6" s="7" t="str">
        <x:v>Enter missing GitHub handles and capacity on Team. Confirm the A2 repository, demo laptop, tutor response and official dates.</x:v>
      </x:c>
      <x:c r="C6" s="2"/>
    </x:row>
    <x:row r="7" ht="47" customHeight="1">
      <x:c r="A7" s="7" t="str">
        <x:v>2. Maintain Tasks</x:v>
      </x:c>
      <x:c r="B7" s="7" t="str">
        <x:v>Edit Status, owner, dates, hours and Depends On. Task IDs are permanent. Do not replace formula columns J or Y:AB with values.</x:v>
      </x:c>
      <x:c r="C7" s="2"/>
    </x:row>
    <x:row r="8" ht="47" customHeight="1">
      <x:c r="A8" s="7" t="str">
        <x:v>3. Read schedule checks</x:v>
      </x:c>
      <x:c r="B8" s="7" t="str">
        <x:v>Week is project week 1–3. Dependency Check follows up to eight comma-separated IDs. Start &gt;= latest predecessor due is OK; same-day handoffs must happen in order.</x:v>
      </x:c>
      <x:c r="C8" s="2"/>
    </x:row>
    <x:row r="9" ht="47" customHeight="1">
      <x:c r="A9" s="7" t="str">
        <x:v>4. Treat gaps as gaps</x:v>
      </x:c>
      <x:c r="B9" s="7" t="str">
        <x:v>Metrics start blank/NOT RUN. Enter Completed runs and Result only from saved logs. Gate decision is manual; task completion percentage is not a pass.</x:v>
      </x:c>
      <x:c r="C9" s="2"/>
    </x:row>
    <x:row r="10" ht="47" customHeight="1">
      <x:c r="A10" s="7" t="str">
        <x:v>5. Export from workbook</x:v>
      </x:c>
      <x:c r="B10" s="7" t="str">
        <x:v>python scripts/github/export_workbook.py docs/task-board.xlsx --out-dir docs</x:v>
      </x:c>
      <x:c r="C10" s="2"/>
    </x:row>
    <x:row r="11" ht="47" customHeight="1">
      <x:c r="A11" s="7" t="str">
        <x:v>6. Preview without GitHub</x:v>
      </x:c>
      <x:c r="B11" s="7" t="str">
        <x:v>python scripts/github/import_tasks.py --repo OWNER/REPO --dry-run</x:v>
      </x:c>
      <x:c r="C11" s="2"/>
    </x:row>
    <x:row r="12" ht="47" customHeight="1">
      <x:c r="A12" s="7" t="str">
        <x:v>7. Import after review</x:v>
      </x:c>
      <x:c r="B12" s="7" t="str">
        <x:v>Authenticate gh for the intended repo, then run without --dry-run. It creates issues and may notify assignees. No live import has been performed.</x:v>
      </x:c>
      <x:c r="C12" s="2"/>
    </x:row>
    <x:row r="13" ht="47" customHeight="1">
      <x:c r="A13" s="7" t="str">
        <x:v>8. Unknown assignees</x:v>
      </x:c>
      <x:c r="B13" s="7" t="str">
        <x:v>Live import refuses missing handles unless --allow-unassigned is supplied. Named owner remains in each issue body. Never guess accounts.</x:v>
      </x:c>
      <x:c r="C13" s="2"/>
    </x:row>
    <x:row r="14" ht="47" customHeight="1">
      <x:c r="A14" s="7" t="str">
        <x:v>9. Rerun safely</x:v>
      </x:c>
      <x:c r="B14" s="7" t="str">
        <x:v>Existing Task IDs are skipped. Open AND closed issues are checked. Only the managed dependency block is refreshed; manual notes survive. Run one importer at a time.</x:v>
      </x:c>
      <x:c r="C14" s="2"/>
    </x:row>
    <x:row r="15" ht="47" customHeight="1">
      <x:c r="A15" s="7" t="str">
        <x:v>10. Keep issue IDs</x:v>
      </x:c>
      <x:c r="B15" s="7" t="str">
        <x:v>The importer updates CSV after every issue. Export preserves nonblank CSV IDs by Task ID. Paste GitHub Issue # back into Excel by Task ID, never row number.</x:v>
      </x:c>
      <x:c r="C15" s="2"/>
    </x:row>
    <x:row r="16" ht="47" customHeight="1">
      <x:c r="A16" s="7" t="str">
        <x:v>11. Existing issue updates</x:v>
      </x:c>
      <x:c r="B16" s="7" t="str">
        <x:v>Dates, labels, assignees and milestones on existing issues are not resynced automatically. Review and edit them intentionally; existing issue status is not overwritten.</x:v>
      </x:c>
      <x:c r="C16" s="2"/>
    </x:row>
    <x:row r="17" ht="47" customHeight="1">
      <x:c r="A17" s="7" t="str">
        <x:v>12. Add tasks carefully</x:v>
      </x:c>
      <x:c r="B17" s="7" t="str">
        <x:v>Insert rows inside Tasks table, extend formula/validation/conditional-format ranges and helper rows in Dependencies, and extend Workload/Milestones lookup ranges. Re-export and dry-run.</x:v>
      </x:c>
      <x:c r="C17" s="2"/>
    </x:row>
    <x:row r="18" ht="47" customHeight="1">
      <x:c r="A18" s="7" t="str">
        <x:v>13. Blocks and GitHub Projects</x:v>
      </x:c>
      <x:c r="B18" s="7" t="str">
        <x:v>Blocks is a convenience snapshot regenerated on export from Depends On. Project custom fields and native blocking relations are not automated; dependency text uses issue links.</x:v>
      </x:c>
      <x:c r="C18" s="2"/>
    </x:row>
    <x:row r="19" ht="47" customHeight="1">
      <x:c r="A19" s="7" t="str">
        <x:v>14. Source hierarchy</x:v>
      </x:c>
      <x:c r="B19" s="7" t="str">
        <x:v>Assignment PDF pp.1–3; A2_project_prompt.md; supplied A1 archive; user confirmation of four CARLA owners. Primary-reference URLs are in project-masterplan.md.</x:v>
      </x:c>
      <x:c r="C19" s="2"/>
    </x:row>
    <x:row r="20" ht="47" customHeight="1">
      <x:c r="A20" s="7" t="str">
        <x:v>15. Confidential work</x:v>
      </x:c>
      <x:c r="B20" s="7" t="str">
        <x:v>Only readiness reminders are shared. Self-reflections, peer assessments and actual AI Journal content remain private; actual submissions occur at course deadlines.</x:v>
      </x:c>
      <x:c r="C20" s="2"/>
    </x:row>
    <x:row r="21" ht="47" customHeight="1">
      <x:c r="A21" s="7" t="str">
        <x:v>16. Verification scope</x:v>
      </x:c>
      <x:c r="B21" s="7" t="str">
        <x:v>Workbook formulas were recalculated and probed in Artifact Tool and saved OOXML was checked. Microsoft Excel desktop execution and live GitHub/CARLA were not available here.</x:v>
      </x:c>
      <x:c r="C21" s="2"/>
    </x:row>
    <x:row r="22" ht="47" customHeight="1">
      <x:c r="A22" s="31" t="str">
        <x:v>Assumptions and open inputs</x:v>
      </x:c>
      <x:c r="B22" s="31" t="str">
        <x:v>The following assumptions apply to this workbook and its CSV exports.</x:v>
      </x:c>
      <x:c r="C22" s="2"/>
    </x:row>
    <x:row r="23" ht="47" customHeight="1">
      <x:c r="A23" s="7"/>
      <x:c r="B23" s="7"/>
      <x:c r="C23" s="2"/>
    </x:row>
    <x:row r="24" ht="47" customHeight="1">
      <x:c r="A24" s="7" t="str">
        <x:v>A01 Dates</x:v>
      </x:c>
      <x:c r="B24" s="7" t="str">
        <x:v>Work runs 12 Oct-1 Nov 2026, Australia/Sydney. G5 31 Oct is internal; 1 Nov is unallocated contingency.</x:v>
      </x:c>
      <x:c r="C24" s="2"/>
    </x:row>
    <x:row r="25" ht="47" customHeight="1">
      <x:c r="A25" s="7" t="str">
        <x:v>A02 Capacity</x:v>
      </x:c>
      <x:c r="B25" s="7" t="str">
        <x:v>32 h/member/week is an unconfirmed availability ceiling. Scheduled work is 19.5-28.5 h/week; remaining capacity is integration contingency.</x:v>
      </x:c>
      <x:c r="C25" s="2"/>
    </x:row>
    <x:row r="26" ht="47" customHeight="1">
      <x:c r="A26" s="7" t="str">
        <x:v>A03 CARLA access</x:v>
      </x:c>
      <x:c r="B26" s="7" t="str">
        <x:v>User confirmed Mohammad, Abdullah, Alan and Zhaolin. Ricky and Saviour receive CARLA-free work; simulator evidence is handed to them.</x:v>
      </x:c>
      <x:c r="C26" s="2"/>
    </x:row>
    <x:row r="27" ht="47" customHeight="1">
      <x:c r="A27" s="7" t="str">
        <x:v>A04 Unknown identities</x:v>
      </x:c>
      <x:c r="B27" s="7" t="str">
        <x:v>Only Mohammad GitHub kkaaman is supplied. Other handles and Saviour A1 role remain unconfirmed.</x:v>
      </x:c>
      <x:c r="C27" s="2"/>
    </x:row>
    <x:row r="28" ht="47" customHeight="1">
      <x:c r="A28" s="7" t="str">
        <x:v>A05 Unknown infrastructure</x:v>
      </x:c>
      <x:c r="B28" s="7" t="str">
        <x:v>A2 repo, demo/backup laptop, cloud provider/account/budget and official submission dates are not supplied. No cloud deployment is claimed.</x:v>
      </x:c>
      <x:c r="C28" s="2"/>
    </x:row>
    <x:row r="29" ht="47" customHeight="1">
      <x:c r="A29" s="7" t="str">
        <x:v>A06 Version and assets</x:v>
      </x:c>
      <x:c r="B29" s="7" t="str">
        <x:v>CARLA 0.9.16/Python 3.12 are starting assumptions from A1 README, to verify on machines. Two .pth files are LFS pointers.</x:v>
      </x:c>
      <x:c r="C29" s="2"/>
    </x:row>
    <x:row r="30" ht="47" customHeight="1">
      <x:c r="A30" s="7" t="str">
        <x:v>A07 Scope</x:v>
      </x:c>
      <x:c r="B30" s="7" t="str">
        <x:v>Full baseline is the delivery target. E1-E5 v1 work is scheduled but live admission depends on G3/G4 tests; P2 reverse and other v2 ideas are conditional.</x:v>
      </x:c>
      <x:c r="C30" s="2"/>
    </x:row>
    <x:row r="31" ht="47" customHeight="1">
      <x:c r="A31" s="7" t="str">
        <x:v>A08 Localization boundary</x:v>
      </x:c>
      <x:c r="B31" s="7" t="str">
        <x:v>Map topology and ego pose are allowed navigation inputs, subject to tutor confirmation. Obstacle actor truth remains evaluation-only.</x:v>
      </x:c>
      <x:c r="C31" s="2"/>
    </x:row>
    <x:row r="32" ht="47" customHeight="1">
      <x:c r="A32" s="7" t="str">
        <x:v>A09 Unverified numbers</x:v>
      </x:c>
      <x:c r="B32" s="7" t="str">
        <x:v>Prompt kinematic errors 0.22/1.14 m and ~14 m stop distance were supplied, not reproduced here. Cruise 5 m/s and all thresholds freeze after measurement.</x:v>
      </x:c>
      <x:c r="C32" s="2"/>
    </x:row>
    <x:row r="33" ht="47" customHeight="1">
      <x:c r="A33" s="7" t="str">
        <x:v>A10 Literature</x:v>
      </x:c>
      <x:c r="B33" s="7" t="str">
        <x:v>No research papers/course templates were in the three attachments or ZIP. Primary references are suggested readings, not supplied papers.</x:v>
      </x:c>
      <x:c r="C33" s="2"/>
    </x:row>
    <x:row r="34" ht="47" customHeight="1">
      <x:c r="A34" s="7" t="str">
        <x:v>A11 Schedule semantics</x:v>
      </x:c>
      <x:c r="B34" s="7" t="str">
        <x:v>Most tasks are single-day &lt;=3.5 h work packages. REV/COM rows reserve short sessions through their week. Equal-date dependencies require ordered same-day handoff.</x:v>
      </x:c>
      <x:c r="C34" s="2"/>
    </x:row>
    <x:row r="35" ht="47" customHeight="1">
      <x:c r="A35" s="7" t="str">
        <x:v>A12 Workbook scope</x:v>
      </x:c>
      <x:c r="B35" s="7" t="str">
        <x:v>All results are blank/NOT RUN. Changing task dates updates checks and workload, not an automatic reschedule. Blocks is refreshed on export; dependency check supports eight IDs.</x:v>
      </x:c>
      <x:c r="C35" s="2"/>
    </x:row>
    <x:row r="36" ht="47" customHeight="1">
      <x:c r="A36" s="7" t="str">
        <x:v>A13 Course limits</x:v>
      </x:c>
      <x:c r="B36" s="7" t="str">
        <x:v>Use &lt;=3 pages AND &lt;=1000 report words as the conservative interpretation; self-reflection &lt;=1 page AND &lt;=400 words. Actual Canvas dates still govern.</x:v>
      </x:c>
      <x:c r="C36" s="2"/>
    </x:row>
    <x:row r="37" ht="28" customHeight="1">
      <x:c r="A37" s="2"/>
      <x:c r="B37" s="2"/>
      <x:c r="C37" s="2"/>
    </x:row>
    <x:row r="38" ht="28" customHeight="1">
      <x:c r="A38" s="2"/>
      <x:c r="B38" s="2"/>
      <x:c r="C38" s="2"/>
    </x:row>
    <x:row r="39" ht="28" customHeight="1">
      <x:c r="A39" s="2"/>
      <x:c r="B39" s="2"/>
      <x:c r="C39" s="2"/>
    </x:row>
    <x:row r="40" ht="28" customHeight="1">
      <x:c r="A40" s="2"/>
      <x:c r="B40" s="2"/>
      <x:c r="C40" s="2"/>
    </x:row>
    <x:row r="41" ht="28" customHeight="1">
      <x:c r="A41" s="2"/>
      <x:c r="B41" s="2"/>
      <x:c r="C41" s="2"/>
    </x:row>
    <x:row r="42" ht="28" customHeight="1">
      <x:c r="A42" s="2"/>
      <x:c r="B42" s="2"/>
      <x:c r="C42" s="2"/>
    </x:row>
    <x:row r="43" ht="28" customHeight="1">
      <x:c r="A43" s="2"/>
      <x:c r="B43" s="2"/>
      <x:c r="C43" s="2"/>
    </x:row>
    <x:row r="44" ht="28" customHeight="1">
      <x:c r="A44" s="2"/>
      <x:c r="B44" s="2"/>
      <x:c r="C44" s="2"/>
    </x:row>
    <x:row r="45" ht="28" customHeight="1">
      <x:c r="A45" s="2"/>
      <x:c r="B45" s="2"/>
      <x:c r="C45" s="2"/>
    </x:row>
    <x:row r="46" ht="28" customHeight="1">
      <x:c r="A46" s="2"/>
      <x:c r="B46" s="2"/>
      <x:c r="C46" s="2"/>
    </x:row>
    <x:row r="47" ht="28" customHeight="1">
      <x:c r="A47" s="2"/>
      <x:c r="B47" s="2"/>
      <x:c r="C47" s="2"/>
    </x:row>
    <x:row r="48" ht="28" customHeight="1">
      <x:c r="A48" s="2"/>
      <x:c r="B48" s="2"/>
      <x:c r="C48" s="2"/>
    </x:row>
  </x:sheetData>
  <x:pageMargins left="0.7" right="0.7" top="0.75" bottom="0.75" header="0.3" footer="0.3"/>
</x:worksheet>
</file>